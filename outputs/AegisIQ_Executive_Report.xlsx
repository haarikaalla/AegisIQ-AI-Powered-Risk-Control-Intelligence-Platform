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 Summary" sheetId="1" state="visible" r:id="rId3"/>
    <sheet name="Control Scorecard" sheetId="2" state="visible" r:id="rId4"/>
    <sheet name="KRI Trend" sheetId="3" state="visible" r:id="rId5"/>
    <sheet name="Data_ControlResults" sheetId="4" state="visible" r:id="rId6"/>
    <sheet name="Data_RiskScores" sheetId="5" state="visible" r:id="rId7"/>
    <sheet name="Data_RemediationActions" sheetId="6" state="visible" r:id="rId8"/>
  </sheets>
  <definedNames>
    <definedName function="false" hidden="true" localSheetId="1" name="_xlnm._FilterDatabase" vbProcedure="false">'Control Scorecard'!$A$4:$K$17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<sst xmlns="http://schemas.openxmlformats.org/spreadsheetml/2006/main" count="4404" uniqueCount="1070">
  <si>
    <t xml:space="preserve">AegisIQ — Executive Summary</t>
  </si>
  <si>
    <t xml:space="preserve">AWM Monitoring &amp; Testing Program  |  Synthetic data, demonstration purposes</t>
  </si>
  <si>
    <t xml:space="preserve">CONTROLS IN SCOPE</t>
  </si>
  <si>
    <t xml:space="preserve">RATED RED (latest)</t>
  </si>
  <si>
    <t xml:space="preserve">RATED AMBER (latest)</t>
  </si>
  <si>
    <t xml:space="preserve">RATED GREEN (latest)</t>
  </si>
  <si>
    <t xml:space="preserve">HIGH/CRITICAL RESIDUAL RISK</t>
  </si>
  <si>
    <t xml:space="preserve">OPEN REMEDIATION ACTIONS</t>
  </si>
  <si>
    <t xml:space="preserve">OVERDUE VS. SLA</t>
  </si>
  <si>
    <t xml:space="preserve">AVG PASS RATE (latest)</t>
  </si>
  <si>
    <t xml:space="preserve">Data Quality Log — Ingestion &amp; Cleaning Layer</t>
  </si>
  <si>
    <t xml:space="preserve">table</t>
  </si>
  <si>
    <t xml:space="preserve">issue</t>
  </si>
  <si>
    <t xml:space="preserve">affected_rows</t>
  </si>
  <si>
    <t xml:space="preserve">action_taken</t>
  </si>
  <si>
    <t xml:space="preserve">trades</t>
  </si>
  <si>
    <t xml:space="preserve">Duplicate rows on key 'trade_id'</t>
  </si>
  <si>
    <t xml:space="preserve">Removed, kept first occurrence</t>
  </si>
  <si>
    <t xml:space="preserve">Timestamp format drift in 'execution_timestamp' ('/' vs '-')</t>
  </si>
  <si>
    <t xml:space="preserve">Normalized to ISO 'YYYY-MM-DD HH:MM:SS' format</t>
  </si>
  <si>
    <t xml:space="preserve">Missing required field 'quantity'</t>
  </si>
  <si>
    <t xml:space="preserve">Flagged as Data-Quality Exception (not testable, not silently dropped)</t>
  </si>
  <si>
    <t xml:space="preserve">Missing required field 'execution_price'</t>
  </si>
  <si>
    <t xml:space="preserve">Negative quantity</t>
  </si>
  <si>
    <t xml:space="preserve">Flagged as Data-Quality Exception</t>
  </si>
  <si>
    <t xml:space="preserve">Zero/negative execution price</t>
  </si>
  <si>
    <t xml:space="preserve">fee_calculations</t>
  </si>
  <si>
    <t xml:space="preserve">Missing required field 'billed_fee'</t>
  </si>
  <si>
    <t xml:space="preserve">AegisIQ — Control Scorecard</t>
  </si>
  <si>
    <t xml:space="preserve">Latest tested period per control, pulled live from Data_ControlResults / Data_RiskScores</t>
  </si>
  <si>
    <t xml:space="preserve">Control ID</t>
  </si>
  <si>
    <t xml:space="preserve">Control Name</t>
  </si>
  <si>
    <t xml:space="preserve">Process</t>
  </si>
  <si>
    <t xml:space="preserve">Latest Period</t>
  </si>
  <si>
    <t xml:space="preserve">Population</t>
  </si>
  <si>
    <t xml:space="preserve">Pass Rate</t>
  </si>
  <si>
    <t xml:space="preserve">KRI Threshold</t>
  </si>
  <si>
    <t xml:space="preserve">RAG Status</t>
  </si>
  <si>
    <t xml:space="preserve">Control Effectiveness</t>
  </si>
  <si>
    <t xml:space="preserve">Residual Risk</t>
  </si>
  <si>
    <t xml:space="preserve">Open Exceptions</t>
  </si>
  <si>
    <t xml:space="preserve">TC-01</t>
  </si>
  <si>
    <t xml:space="preserve">TC-02</t>
  </si>
  <si>
    <t xml:space="preserve">TC-03</t>
  </si>
  <si>
    <t xml:space="preserve">FC-01</t>
  </si>
  <si>
    <t xml:space="preserve">FC-02</t>
  </si>
  <si>
    <t xml:space="preserve">KC-01</t>
  </si>
  <si>
    <t xml:space="preserve">KC-02</t>
  </si>
  <si>
    <t xml:space="preserve">NV-01</t>
  </si>
  <si>
    <t xml:space="preserve">NV-02</t>
  </si>
  <si>
    <t xml:space="preserve">CM-01</t>
  </si>
  <si>
    <t xml:space="preserve">CM-02</t>
  </si>
  <si>
    <t xml:space="preserve">SM-01</t>
  </si>
  <si>
    <t xml:space="preserve">SM-02</t>
  </si>
  <si>
    <t xml:space="preserve">AegisIQ — KRI Pass-Rate Trend</t>
  </si>
  <si>
    <t xml:space="preserve">Monthly pass rate by control, live from Data_ControlResults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</si>
  <si>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</si>
  <si>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</si>
  <si>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</si>
  <si>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</si>
  <si>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</si>
  <si>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</si>
  <si>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</si>
  <si>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</si>
  <si>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</si>
  <si>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</si>
  <si>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</si>
  <si>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</si>
  <si>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</si>
  <si>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control_id</t>
  </si>
  <si>
    <t xml:space="preserve">control_name</t>
  </si>
  <si>
    <t xml:space="preserve">process_name</t>
  </si>
  <si>
    <t xml:space="preserve">period</t>
  </si>
  <si>
    <t xml:space="preserve">population</t>
  </si>
  <si>
    <t xml:space="preserve">pass_count</t>
  </si>
  <si>
    <t xml:space="preserve">fail_count</t>
  </si>
  <si>
    <t xml:space="preserve">dq_exception_count</t>
  </si>
  <si>
    <t xml:space="preserve">pass_rate</t>
  </si>
  <si>
    <t xml:space="preserve">kri_threshold</t>
  </si>
  <si>
    <t xml:space="preserve">rag_status</t>
  </si>
  <si>
    <t xml:space="preserve">Dual Approval Threshold</t>
  </si>
  <si>
    <t xml:space="preserve">Cash &amp; Collateral Movements</t>
  </si>
  <si>
    <t xml:space="preserve">Red</t>
  </si>
  <si>
    <t xml:space="preserve">Amber</t>
  </si>
  <si>
    <t xml:space="preserve">Custodian Reconciliation Match</t>
  </si>
  <si>
    <t xml:space="preserve">Green</t>
  </si>
  <si>
    <t xml:space="preserve">Fee Recalculation Match</t>
  </si>
  <si>
    <t xml:space="preserve">Fee Billing &amp; Calculation</t>
  </si>
  <si>
    <t xml:space="preserve">Invoice Timeliness SLA</t>
  </si>
  <si>
    <t xml:space="preserve">Refresh SLA Compliance</t>
  </si>
  <si>
    <t xml:space="preserve">Client Onboarding / KYC-AML Refresh</t>
  </si>
  <si>
    <t xml:space="preserve">Documentation Completeness</t>
  </si>
  <si>
    <t xml:space="preserve">Price Variance Tolerance</t>
  </si>
  <si>
    <t xml:space="preserve">NAV / Valuation Oversight</t>
  </si>
  <si>
    <t xml:space="preserve">Break Resolution SLA</t>
  </si>
  <si>
    <t xml:space="preserve">Guideline Band Compliance</t>
  </si>
  <si>
    <t xml:space="preserve">Suitability &amp; Mandate Compliance</t>
  </si>
  <si>
    <t xml:space="preserve">Periodic Suitability Review</t>
  </si>
  <si>
    <t xml:space="preserve">Allocation Timeliness</t>
  </si>
  <si>
    <t xml:space="preserve">Trade Allocation &amp; Execution</t>
  </si>
  <si>
    <t xml:space="preserve">Execution Price Reasonableness</t>
  </si>
  <si>
    <t xml:space="preserve">Pro-Rata Allocation Fairness</t>
  </si>
  <si>
    <t xml:space="preserve">risk_category</t>
  </si>
  <si>
    <t xml:space="preserve">latest_pass_rate</t>
  </si>
  <si>
    <t xml:space="preserve">inherent_risk_1to5</t>
  </si>
  <si>
    <t xml:space="preserve">control_effectiveness_score</t>
  </si>
  <si>
    <t xml:space="preserve">control_effectiveness_rating</t>
  </si>
  <si>
    <t xml:space="preserve">residual_risk_score</t>
  </si>
  <si>
    <t xml:space="preserve">residual_risk_rating</t>
  </si>
  <si>
    <t xml:space="preserve">open_exceptions</t>
  </si>
  <si>
    <t xml:space="preserve">rag_status_latest</t>
  </si>
  <si>
    <t xml:space="preserve">Compliance</t>
  </si>
  <si>
    <t xml:space="preserve">Ineffective</t>
  </si>
  <si>
    <t xml:space="preserve">High</t>
  </si>
  <si>
    <t xml:space="preserve">Valuation</t>
  </si>
  <si>
    <t xml:space="preserve">Operational</t>
  </si>
  <si>
    <t xml:space="preserve">Medium</t>
  </si>
  <si>
    <t xml:space="preserve">Needs Improvement</t>
  </si>
  <si>
    <t xml:space="preserve">Low</t>
  </si>
  <si>
    <t xml:space="preserve">Suitability</t>
  </si>
  <si>
    <t xml:space="preserve">Effective</t>
  </si>
  <si>
    <t xml:space="preserve">action_id</t>
  </si>
  <si>
    <t xml:space="preserve">exception_id</t>
  </si>
  <si>
    <t xml:space="preserve">owner</t>
  </si>
  <si>
    <t xml:space="preserve">reason_code</t>
  </si>
  <si>
    <t xml:space="preserve">detail</t>
  </si>
  <si>
    <t xml:space="preserve">identified_date</t>
  </si>
  <si>
    <t xml:space="preserve">target_closure_date</t>
  </si>
  <si>
    <t xml:space="preserve">days_to_target</t>
  </si>
  <si>
    <t xml:space="preserve">status_vs_sla</t>
  </si>
  <si>
    <t xml:space="preserve">remediation_priority</t>
  </si>
  <si>
    <t xml:space="preserve">REM-9000000</t>
  </si>
  <si>
    <t xml:space="preserve">J. Farrow, Trading Ops</t>
  </si>
  <si>
    <t xml:space="preserve">ALLOC_LATE</t>
  </si>
  <si>
    <t xml:space="preserve">Allocated 111 min after execution (limit 30 min)</t>
  </si>
  <si>
    <t xml:space="preserve">2025-09-11</t>
  </si>
  <si>
    <t xml:space="preserve">2025-10-01</t>
  </si>
  <si>
    <t xml:space="preserve">Overdue</t>
  </si>
  <si>
    <t xml:space="preserve">REM-9000001</t>
  </si>
  <si>
    <t xml:space="preserve">Allocated 63 min after execution (limit 30 min)</t>
  </si>
  <si>
    <t xml:space="preserve">2025-10-15</t>
  </si>
  <si>
    <t xml:space="preserve">2025-11-04</t>
  </si>
  <si>
    <t xml:space="preserve">REM-9000002</t>
  </si>
  <si>
    <t xml:space="preserve">Allocated 64 min after execution (limit 30 min)</t>
  </si>
  <si>
    <t xml:space="preserve">2025-10-17</t>
  </si>
  <si>
    <t xml:space="preserve">2025-11-06</t>
  </si>
  <si>
    <t xml:space="preserve">REM-9000003</t>
  </si>
  <si>
    <t xml:space="preserve">Allocated 46 min after execution (limit 30 min)</t>
  </si>
  <si>
    <t xml:space="preserve">2025-10-31</t>
  </si>
  <si>
    <t xml:space="preserve">2025-11-20</t>
  </si>
  <si>
    <t xml:space="preserve">REM-9000004</t>
  </si>
  <si>
    <t xml:space="preserve">Allocated 173 min after execution (limit 30 min)</t>
  </si>
  <si>
    <t xml:space="preserve">2025-11-13</t>
  </si>
  <si>
    <t xml:space="preserve">2025-12-03</t>
  </si>
  <si>
    <t xml:space="preserve">REM-9000005</t>
  </si>
  <si>
    <t xml:space="preserve">Allocated 161 min after execution (limit 30 min)</t>
  </si>
  <si>
    <t xml:space="preserve">2025-11-24</t>
  </si>
  <si>
    <t xml:space="preserve">2025-12-14</t>
  </si>
  <si>
    <t xml:space="preserve">REM-9000006</t>
  </si>
  <si>
    <t xml:space="preserve">Allocated 171 min after execution (limit 30 min)</t>
  </si>
  <si>
    <t xml:space="preserve">2025-12-29</t>
  </si>
  <si>
    <t xml:space="preserve">2026-01-18</t>
  </si>
  <si>
    <t xml:space="preserve">REM-9000007</t>
  </si>
  <si>
    <t xml:space="preserve">Allocated 76 min after execution (limit 30 min)</t>
  </si>
  <si>
    <t xml:space="preserve">2026-01-22</t>
  </si>
  <si>
    <t xml:space="preserve">2026-02-11</t>
  </si>
  <si>
    <t xml:space="preserve">REM-9000008</t>
  </si>
  <si>
    <t xml:space="preserve">Allocated 80 min after execution (limit 30 min)</t>
  </si>
  <si>
    <t xml:space="preserve">2026-04-15</t>
  </si>
  <si>
    <t xml:space="preserve">2026-05-05</t>
  </si>
  <si>
    <t xml:space="preserve">REM-9000009</t>
  </si>
  <si>
    <t xml:space="preserve">Allocated 192 min after execution (limit 30 min)</t>
  </si>
  <si>
    <t xml:space="preserve">2026-04-29</t>
  </si>
  <si>
    <t xml:space="preserve">2026-05-19</t>
  </si>
  <si>
    <t xml:space="preserve">REM-9000010</t>
  </si>
  <si>
    <t xml:space="preserve">Allocated 117 min after execution (limit 30 min)</t>
  </si>
  <si>
    <t xml:space="preserve">REM-9000011</t>
  </si>
  <si>
    <t xml:space="preserve">Allocated 67 min after execution (limit 30 min)</t>
  </si>
  <si>
    <t xml:space="preserve">2026-05-01</t>
  </si>
  <si>
    <t xml:space="preserve">2026-05-21</t>
  </si>
  <si>
    <t xml:space="preserve">REM-9000012</t>
  </si>
  <si>
    <t xml:space="preserve">Allocated 160 min after execution (limit 30 min)</t>
  </si>
  <si>
    <t xml:space="preserve">2026-05-08</t>
  </si>
  <si>
    <t xml:space="preserve">2026-05-28</t>
  </si>
  <si>
    <t xml:space="preserve">REM-9000013</t>
  </si>
  <si>
    <t xml:space="preserve">Allocated 207 min after execution (limit 30 min)</t>
  </si>
  <si>
    <t xml:space="preserve">2026-05-13</t>
  </si>
  <si>
    <t xml:space="preserve">2026-06-02</t>
  </si>
  <si>
    <t xml:space="preserve">REM-9000014</t>
  </si>
  <si>
    <t xml:space="preserve">REM-9000015</t>
  </si>
  <si>
    <t xml:space="preserve">Allocated 84 min after execution (limit 30 min)</t>
  </si>
  <si>
    <t xml:space="preserve">2026-06-04</t>
  </si>
  <si>
    <t xml:space="preserve">2026-06-24</t>
  </si>
  <si>
    <t xml:space="preserve">REM-9000016</t>
  </si>
  <si>
    <t xml:space="preserve">Allocated 141 min after execution (limit 30 min)</t>
  </si>
  <si>
    <t xml:space="preserve">2026-06-17</t>
  </si>
  <si>
    <t xml:space="preserve">2026-07-07</t>
  </si>
  <si>
    <t xml:space="preserve">REM-9000017</t>
  </si>
  <si>
    <t xml:space="preserve">Allocated 154 min after execution (limit 30 min)</t>
  </si>
  <si>
    <t xml:space="preserve">REM-9000018</t>
  </si>
  <si>
    <t xml:space="preserve">Allocated 54 min after execution (limit 30 min)</t>
  </si>
  <si>
    <t xml:space="preserve">REM-9000019</t>
  </si>
  <si>
    <t xml:space="preserve">Allocated 55 min after execution (limit 30 min)</t>
  </si>
  <si>
    <t xml:space="preserve">REM-9000020</t>
  </si>
  <si>
    <t xml:space="preserve">Allocated 122 min after execution (limit 30 min)</t>
  </si>
  <si>
    <t xml:space="preserve">2026-06-18</t>
  </si>
  <si>
    <t xml:space="preserve">2026-07-08</t>
  </si>
  <si>
    <t xml:space="preserve">REM-9000021</t>
  </si>
  <si>
    <t xml:space="preserve">Allocated 196 min after execution (limit 30 min)</t>
  </si>
  <si>
    <t xml:space="preserve">2026-06-19</t>
  </si>
  <si>
    <t xml:space="preserve">2026-07-09</t>
  </si>
  <si>
    <t xml:space="preserve">REM-9000022</t>
  </si>
  <si>
    <t xml:space="preserve">Allocated 53 min after execution (limit 30 min)</t>
  </si>
  <si>
    <t xml:space="preserve">2026-06-23</t>
  </si>
  <si>
    <t xml:space="preserve">2026-07-13</t>
  </si>
  <si>
    <t xml:space="preserve">REM-9000023</t>
  </si>
  <si>
    <t xml:space="preserve">Allocated 163 min after execution (limit 30 min)</t>
  </si>
  <si>
    <t xml:space="preserve">2026-06-29</t>
  </si>
  <si>
    <t xml:space="preserve">2026-07-19</t>
  </si>
  <si>
    <t xml:space="preserve">REM-9000024</t>
  </si>
  <si>
    <t xml:space="preserve">Allocated 157 min after execution (limit 30 min)</t>
  </si>
  <si>
    <t xml:space="preserve">2026-07-02</t>
  </si>
  <si>
    <t xml:space="preserve">2026-07-22</t>
  </si>
  <si>
    <t xml:space="preserve">REM-9000025</t>
  </si>
  <si>
    <t xml:space="preserve">Allocated 123 min after execution (limit 30 min)</t>
  </si>
  <si>
    <t xml:space="preserve">2026-07-17</t>
  </si>
  <si>
    <t xml:space="preserve">2026-08-06</t>
  </si>
  <si>
    <t xml:space="preserve">REM-9000026</t>
  </si>
  <si>
    <t xml:space="preserve">Allocated 105 min after execution (limit 30 min)</t>
  </si>
  <si>
    <t xml:space="preserve">2026-07-21</t>
  </si>
  <si>
    <t xml:space="preserve">2026-08-10</t>
  </si>
  <si>
    <t xml:space="preserve">REM-9000027</t>
  </si>
  <si>
    <t xml:space="preserve">Allocated 79 min after execution (limit 30 min)</t>
  </si>
  <si>
    <t xml:space="preserve">2026-07-29</t>
  </si>
  <si>
    <t xml:space="preserve">2026-08-18</t>
  </si>
  <si>
    <t xml:space="preserve">REM-9000028</t>
  </si>
  <si>
    <t xml:space="preserve">Allocated 215 min after execution (limit 30 min)</t>
  </si>
  <si>
    <t xml:space="preserve">REM-9000029</t>
  </si>
  <si>
    <t xml:space="preserve">Allocated 184 min after execution (limit 30 min)</t>
  </si>
  <si>
    <t xml:space="preserve">2026-07-30</t>
  </si>
  <si>
    <t xml:space="preserve">2026-08-19</t>
  </si>
  <si>
    <t xml:space="preserve">REM-9000030</t>
  </si>
  <si>
    <t xml:space="preserve">Allocated 239 min after execution (limit 30 min)</t>
  </si>
  <si>
    <t xml:space="preserve">2026-08-03</t>
  </si>
  <si>
    <t xml:space="preserve">2026-08-23</t>
  </si>
  <si>
    <t xml:space="preserve">REM-9000031</t>
  </si>
  <si>
    <t xml:space="preserve">Allocated 236 min after execution (limit 30 min)</t>
  </si>
  <si>
    <t xml:space="preserve">REM-9000032</t>
  </si>
  <si>
    <t xml:space="preserve">2026-08-05</t>
  </si>
  <si>
    <t xml:space="preserve">2026-08-25</t>
  </si>
  <si>
    <t xml:space="preserve">REM-9000033</t>
  </si>
  <si>
    <t xml:space="preserve">Allocated 176 min after execution (limit 30 min)</t>
  </si>
  <si>
    <t xml:space="preserve">2026-08-26</t>
  </si>
  <si>
    <t xml:space="preserve">REM-9000034</t>
  </si>
  <si>
    <t xml:space="preserve">Allocated 130 min after execution (limit 30 min)</t>
  </si>
  <si>
    <t xml:space="preserve">REM-9000035</t>
  </si>
  <si>
    <t xml:space="preserve">Allocated 95 min after execution (limit 30 min)</t>
  </si>
  <si>
    <t xml:space="preserve">REM-9000036</t>
  </si>
  <si>
    <t xml:space="preserve">Allocated 217 min after execution (limit 30 min)</t>
  </si>
  <si>
    <t xml:space="preserve">2026-08-30</t>
  </si>
  <si>
    <t xml:space="preserve">REM-9000037</t>
  </si>
  <si>
    <t xml:space="preserve">REM-9000038</t>
  </si>
  <si>
    <t xml:space="preserve">REM-9000039</t>
  </si>
  <si>
    <t xml:space="preserve">REM-9000040</t>
  </si>
  <si>
    <t xml:space="preserve">Allocated 197 min after execution (limit 30 min)</t>
  </si>
  <si>
    <t xml:space="preserve">2026-08-11</t>
  </si>
  <si>
    <t xml:space="preserve">2026-08-31</t>
  </si>
  <si>
    <t xml:space="preserve">REM-9000041</t>
  </si>
  <si>
    <t xml:space="preserve">Allocated 131 min after execution (limit 30 min)</t>
  </si>
  <si>
    <t xml:space="preserve">REM-9000042</t>
  </si>
  <si>
    <t xml:space="preserve">Allocated 94 min after execution (limit 30 min)</t>
  </si>
  <si>
    <t xml:space="preserve">REM-9000043</t>
  </si>
  <si>
    <t xml:space="preserve">Allocated 182 min after execution (limit 30 min)</t>
  </si>
  <si>
    <t xml:space="preserve">2026-08-12</t>
  </si>
  <si>
    <t xml:space="preserve">2026-09-01</t>
  </si>
  <si>
    <t xml:space="preserve">REM-9000044</t>
  </si>
  <si>
    <t xml:space="preserve">Allocated 108 min after execution (limit 30 min)</t>
  </si>
  <si>
    <t xml:space="preserve">2026-08-13</t>
  </si>
  <si>
    <t xml:space="preserve">2026-09-02</t>
  </si>
  <si>
    <t xml:space="preserve">REM-9000045</t>
  </si>
  <si>
    <t xml:space="preserve">Allocated 88 min after execution (limit 30 min)</t>
  </si>
  <si>
    <t xml:space="preserve">REM-9000046</t>
  </si>
  <si>
    <t xml:space="preserve">Allocated 159 min after execution (limit 30 min)</t>
  </si>
  <si>
    <t xml:space="preserve">REM-9000047</t>
  </si>
  <si>
    <t xml:space="preserve">Allocated 144 min after execution (limit 30 min)</t>
  </si>
  <si>
    <t xml:space="preserve">2026-08-14</t>
  </si>
  <si>
    <t xml:space="preserve">2026-09-03</t>
  </si>
  <si>
    <t xml:space="preserve">REM-9000048</t>
  </si>
  <si>
    <t xml:space="preserve">REM-9000049</t>
  </si>
  <si>
    <t xml:space="preserve">Allocated 129 min after execution (limit 30 min)</t>
  </si>
  <si>
    <t xml:space="preserve">REM-9000050</t>
  </si>
  <si>
    <t xml:space="preserve">2026-08-17</t>
  </si>
  <si>
    <t xml:space="preserve">2026-09-06</t>
  </si>
  <si>
    <t xml:space="preserve">On Track</t>
  </si>
  <si>
    <t xml:space="preserve">REM-9000051</t>
  </si>
  <si>
    <t xml:space="preserve">REM-9000052</t>
  </si>
  <si>
    <t xml:space="preserve">Allocated 147 min after execution (limit 30 min)</t>
  </si>
  <si>
    <t xml:space="preserve">REM-9000053</t>
  </si>
  <si>
    <t xml:space="preserve">Allocated 120 min after execution (limit 30 min)</t>
  </si>
  <si>
    <t xml:space="preserve">REM-9000054</t>
  </si>
  <si>
    <t xml:space="preserve">Allocated 85 min after execution (limit 30 min)</t>
  </si>
  <si>
    <t xml:space="preserve">REM-9000055</t>
  </si>
  <si>
    <t xml:space="preserve">Allocated 101 min after execution (limit 30 min)</t>
  </si>
  <si>
    <t xml:space="preserve">REM-9000056</t>
  </si>
  <si>
    <t xml:space="preserve">Allocated 92 min after execution (limit 30 min)</t>
  </si>
  <si>
    <t xml:space="preserve">REM-9000057</t>
  </si>
  <si>
    <t xml:space="preserve">Allocated 162 min after execution (limit 30 min)</t>
  </si>
  <si>
    <t xml:space="preserve">REM-9000058</t>
  </si>
  <si>
    <t xml:space="preserve">Allocated 183 min after execution (limit 30 min)</t>
  </si>
  <si>
    <t xml:space="preserve">2026-09-07</t>
  </si>
  <si>
    <t xml:space="preserve">REM-9000059</t>
  </si>
  <si>
    <t xml:space="preserve">Allocated 143 min after execution (limit 30 min)</t>
  </si>
  <si>
    <t xml:space="preserve">REM-9000060</t>
  </si>
  <si>
    <t xml:space="preserve">REM-9000061</t>
  </si>
  <si>
    <t xml:space="preserve">Allocated 115 min after execution (limit 30 min)</t>
  </si>
  <si>
    <t xml:space="preserve">REM-9000062</t>
  </si>
  <si>
    <t xml:space="preserve">Allocated 81 min after execution (limit 30 min)</t>
  </si>
  <si>
    <t xml:space="preserve">REM-9000063</t>
  </si>
  <si>
    <t xml:space="preserve">Allocated 208 min after execution (limit 30 min)</t>
  </si>
  <si>
    <t xml:space="preserve">REM-9000064</t>
  </si>
  <si>
    <t xml:space="preserve">Allocated 68 min after execution (limit 30 min)</t>
  </si>
  <si>
    <t xml:space="preserve">REM-9000065</t>
  </si>
  <si>
    <t xml:space="preserve">Allocated 187 min after execution (limit 30 min)</t>
  </si>
  <si>
    <t xml:space="preserve">2026-09-08</t>
  </si>
  <si>
    <t xml:space="preserve">REM-9000066</t>
  </si>
  <si>
    <t xml:space="preserve">REM-9000067</t>
  </si>
  <si>
    <t xml:space="preserve">REM-9000068</t>
  </si>
  <si>
    <t xml:space="preserve">Allocated 138 min after execution (limit 30 min)</t>
  </si>
  <si>
    <t xml:space="preserve">REM-9000069</t>
  </si>
  <si>
    <t xml:space="preserve">Allocated 145 min after execution (limit 30 min)</t>
  </si>
  <si>
    <t xml:space="preserve">2026-08-20</t>
  </si>
  <si>
    <t xml:space="preserve">2026-09-09</t>
  </si>
  <si>
    <t xml:space="preserve">REM-9000070</t>
  </si>
  <si>
    <t xml:space="preserve">Allocated 190 min after execution (limit 30 min)</t>
  </si>
  <si>
    <t xml:space="preserve">REM-9000071</t>
  </si>
  <si>
    <t xml:space="preserve">Allocated 166 min after execution (limit 30 min)</t>
  </si>
  <si>
    <t xml:space="preserve">REM-9000072</t>
  </si>
  <si>
    <t xml:space="preserve">REM-9000073</t>
  </si>
  <si>
    <t xml:space="preserve">2026-08-21</t>
  </si>
  <si>
    <t xml:space="preserve">2026-09-10</t>
  </si>
  <si>
    <t xml:space="preserve">REM-9000074</t>
  </si>
  <si>
    <t xml:space="preserve">Allocated 139 min after execution (limit 30 min)</t>
  </si>
  <si>
    <t xml:space="preserve">REM-9000075</t>
  </si>
  <si>
    <t xml:space="preserve">Allocated 48 min after execution (limit 30 min)</t>
  </si>
  <si>
    <t xml:space="preserve">REM-9000076</t>
  </si>
  <si>
    <t xml:space="preserve">REM-9000077</t>
  </si>
  <si>
    <t xml:space="preserve">Allocated 124 min after execution (limit 30 min)</t>
  </si>
  <si>
    <t xml:space="preserve">2026-08-24</t>
  </si>
  <si>
    <t xml:space="preserve">2026-09-13</t>
  </si>
  <si>
    <t xml:space="preserve">REM-9000078</t>
  </si>
  <si>
    <t xml:space="preserve">REM-9000079</t>
  </si>
  <si>
    <t xml:space="preserve">REM-9000080</t>
  </si>
  <si>
    <t xml:space="preserve">Allocated 135 min after execution (limit 30 min)</t>
  </si>
  <si>
    <t xml:space="preserve">REM-9000081</t>
  </si>
  <si>
    <t xml:space="preserve">2026-09-14</t>
  </si>
  <si>
    <t xml:space="preserve">REM-9000082</t>
  </si>
  <si>
    <t xml:space="preserve">Allocated 77 min after execution (limit 30 min)</t>
  </si>
  <si>
    <t xml:space="preserve">REM-9000083</t>
  </si>
  <si>
    <t xml:space="preserve">Allocated 118 min after execution (limit 30 min)</t>
  </si>
  <si>
    <t xml:space="preserve">REM-9000084</t>
  </si>
  <si>
    <t xml:space="preserve">Allocated 224 min after execution (limit 30 min)</t>
  </si>
  <si>
    <t xml:space="preserve">REM-9000085</t>
  </si>
  <si>
    <t xml:space="preserve">Allocated 158 min after execution (limit 30 min)</t>
  </si>
  <si>
    <t xml:space="preserve">REM-9000086</t>
  </si>
  <si>
    <t xml:space="preserve">REM-9000087</t>
  </si>
  <si>
    <t xml:space="preserve">2026-09-15</t>
  </si>
  <si>
    <t xml:space="preserve">REM-9000088</t>
  </si>
  <si>
    <t xml:space="preserve">Allocated 174 min after execution (limit 30 min)</t>
  </si>
  <si>
    <t xml:space="preserve">REM-9000089</t>
  </si>
  <si>
    <t xml:space="preserve">Allocated 61 min after execution (limit 30 min)</t>
  </si>
  <si>
    <t xml:space="preserve">REM-9000090</t>
  </si>
  <si>
    <t xml:space="preserve">Allocated 116 min after execution (limit 30 min)</t>
  </si>
  <si>
    <t xml:space="preserve">REM-9000091</t>
  </si>
  <si>
    <t xml:space="preserve">REM-9000092</t>
  </si>
  <si>
    <t xml:space="preserve">REM-9000093</t>
  </si>
  <si>
    <t xml:space="preserve">Allocated 175 min after execution (limit 30 min)</t>
  </si>
  <si>
    <t xml:space="preserve">2026-08-27</t>
  </si>
  <si>
    <t xml:space="preserve">2026-09-16</t>
  </si>
  <si>
    <t xml:space="preserve">REM-9000094</t>
  </si>
  <si>
    <t xml:space="preserve">REM-9000095</t>
  </si>
  <si>
    <t xml:space="preserve">Allocated 50 min after execution (limit 30 min)</t>
  </si>
  <si>
    <t xml:space="preserve">REM-9000096</t>
  </si>
  <si>
    <t xml:space="preserve">Allocated 100 min after execution (limit 30 min)</t>
  </si>
  <si>
    <t xml:space="preserve">REM-9000097</t>
  </si>
  <si>
    <t xml:space="preserve">Allocated 87 min after execution (limit 30 min)</t>
  </si>
  <si>
    <t xml:space="preserve">REM-9000098</t>
  </si>
  <si>
    <t xml:space="preserve">Allocated 211 min after execution (limit 30 min)</t>
  </si>
  <si>
    <t xml:space="preserve">REM-9000099</t>
  </si>
  <si>
    <t xml:space="preserve">Allocated 106 min after execution (limit 30 min)</t>
  </si>
  <si>
    <t xml:space="preserve">2026-08-28</t>
  </si>
  <si>
    <t xml:space="preserve">2026-09-17</t>
  </si>
  <si>
    <t xml:space="preserve">REM-9000100</t>
  </si>
  <si>
    <t xml:space="preserve">REM-9000101</t>
  </si>
  <si>
    <t xml:space="preserve">REM-9000102</t>
  </si>
  <si>
    <t xml:space="preserve">Allocated 99 min after execution (limit 30 min)</t>
  </si>
  <si>
    <t xml:space="preserve">REM-9000103</t>
  </si>
  <si>
    <t xml:space="preserve">Allocated 223 min after execution (limit 30 min)</t>
  </si>
  <si>
    <t xml:space="preserve">REM-9000104</t>
  </si>
  <si>
    <t xml:space="preserve">REM-9000105</t>
  </si>
  <si>
    <t xml:space="preserve">REM-9000106</t>
  </si>
  <si>
    <t xml:space="preserve">Allocated 214 min after execution (limit 30 min)</t>
  </si>
  <si>
    <t xml:space="preserve">REM-9000107</t>
  </si>
  <si>
    <t xml:space="preserve">Allocated 150 min after execution (limit 30 min)</t>
  </si>
  <si>
    <t xml:space="preserve">2026-09-20</t>
  </si>
  <si>
    <t xml:space="preserve">REM-9000108</t>
  </si>
  <si>
    <t xml:space="preserve">REM-9000109</t>
  </si>
  <si>
    <t xml:space="preserve">Allocated 90 min after execution (limit 30 min)</t>
  </si>
  <si>
    <t xml:space="preserve">REM-9000110</t>
  </si>
  <si>
    <t xml:space="preserve">Allocated 189 min after execution (limit 30 min)</t>
  </si>
  <si>
    <t xml:space="preserve">REM-9000111</t>
  </si>
  <si>
    <t xml:space="preserve">PRICE_OUTLIER</t>
  </si>
  <si>
    <t xml:space="preserve">Execution price deviated 50.0 bps from benchmark (limit 15bps)</t>
  </si>
  <si>
    <t xml:space="preserve">2025-10-14</t>
  </si>
  <si>
    <t xml:space="preserve">2025-10-29</t>
  </si>
  <si>
    <t xml:space="preserve">REM-9000112</t>
  </si>
  <si>
    <t xml:space="preserve">Execution price deviated -34.5 bps from benchmark (limit 15bps)</t>
  </si>
  <si>
    <t xml:space="preserve">REM-9000113</t>
  </si>
  <si>
    <t xml:space="preserve">Execution price deviated 66.9 bps from benchmark (limit 15bps)</t>
  </si>
  <si>
    <t xml:space="preserve">2025-10-30</t>
  </si>
  <si>
    <t xml:space="preserve">REM-9000114</t>
  </si>
  <si>
    <t xml:space="preserve">Execution price deviated -45.5 bps from benchmark (limit 15bps)</t>
  </si>
  <si>
    <t xml:space="preserve">2025-10-16</t>
  </si>
  <si>
    <t xml:space="preserve">REM-9000115</t>
  </si>
  <si>
    <t xml:space="preserve">Execution price deviated 24.1 bps from benchmark (limit 15bps)</t>
  </si>
  <si>
    <t xml:space="preserve">2025-11-15</t>
  </si>
  <si>
    <t xml:space="preserve">REM-9000116</t>
  </si>
  <si>
    <t xml:space="preserve">Execution price deviated -75.5 bps from benchmark (limit 15bps)</t>
  </si>
  <si>
    <t xml:space="preserve">2025-11-19</t>
  </si>
  <si>
    <t xml:space="preserve">REM-9000117</t>
  </si>
  <si>
    <t xml:space="preserve">Execution price deviated -69.8 bps from benchmark (limit 15bps)</t>
  </si>
  <si>
    <t xml:space="preserve">2025-11-18</t>
  </si>
  <si>
    <t xml:space="preserve">REM-9000118</t>
  </si>
  <si>
    <t xml:space="preserve">Execution price deviated -90.6 bps from benchmark (limit 15bps)</t>
  </si>
  <si>
    <t xml:space="preserve">2025-12-09</t>
  </si>
  <si>
    <t xml:space="preserve">2025-12-24</t>
  </si>
  <si>
    <t xml:space="preserve">REM-9000119</t>
  </si>
  <si>
    <t xml:space="preserve">Execution price deviated -32.3 bps from benchmark (limit 15bps)</t>
  </si>
  <si>
    <t xml:space="preserve">2026-01-16</t>
  </si>
  <si>
    <t xml:space="preserve">2026-01-31</t>
  </si>
  <si>
    <t xml:space="preserve">REM-9000120</t>
  </si>
  <si>
    <t xml:space="preserve">Execution price deviated 56.3 bps from benchmark (limit 15bps)</t>
  </si>
  <si>
    <t xml:space="preserve">2026-02-20</t>
  </si>
  <si>
    <t xml:space="preserve">2026-03-07</t>
  </si>
  <si>
    <t xml:space="preserve">REM-9000121</t>
  </si>
  <si>
    <t xml:space="preserve">Execution price deviated -76.7 bps from benchmark (limit 15bps)</t>
  </si>
  <si>
    <t xml:space="preserve">2026-02-23</t>
  </si>
  <si>
    <t xml:space="preserve">2026-03-10</t>
  </si>
  <si>
    <t xml:space="preserve">REM-9000122</t>
  </si>
  <si>
    <t xml:space="preserve">Execution price deviated -35.7 bps from benchmark (limit 15bps)</t>
  </si>
  <si>
    <t xml:space="preserve">2026-04-02</t>
  </si>
  <si>
    <t xml:space="preserve">2026-04-17</t>
  </si>
  <si>
    <t xml:space="preserve">REM-9000123</t>
  </si>
  <si>
    <t xml:space="preserve">Execution price deviated -84.0 bps from benchmark (limit 15bps)</t>
  </si>
  <si>
    <t xml:space="preserve">2026-04-06</t>
  </si>
  <si>
    <t xml:space="preserve">2026-04-21</t>
  </si>
  <si>
    <t xml:space="preserve">REM-9000124</t>
  </si>
  <si>
    <t xml:space="preserve">Execution price deviated 25.7 bps from benchmark (limit 15bps)</t>
  </si>
  <si>
    <t xml:space="preserve">2026-05-27</t>
  </si>
  <si>
    <t xml:space="preserve">2026-06-11</t>
  </si>
  <si>
    <t xml:space="preserve">REM-9000125</t>
  </si>
  <si>
    <t xml:space="preserve">Execution price deviated 53.8 bps from benchmark (limit 15bps)</t>
  </si>
  <si>
    <t xml:space="preserve">2026-05-29</t>
  </si>
  <si>
    <t xml:space="preserve">2026-06-13</t>
  </si>
  <si>
    <t xml:space="preserve">REM-9000126</t>
  </si>
  <si>
    <t xml:space="preserve">Execution price deviated 62.6 bps from benchmark (limit 15bps)</t>
  </si>
  <si>
    <t xml:space="preserve">2026-06-09</t>
  </si>
  <si>
    <t xml:space="preserve">REM-9000127</t>
  </si>
  <si>
    <t xml:space="preserve">Execution price deviated 72.8 bps from benchmark (limit 15bps)</t>
  </si>
  <si>
    <t xml:space="preserve">2026-06-12</t>
  </si>
  <si>
    <t xml:space="preserve">2026-06-27</t>
  </si>
  <si>
    <t xml:space="preserve">REM-9000128</t>
  </si>
  <si>
    <t xml:space="preserve">Execution price deviated 32.2 bps from benchmark (limit 15bps)</t>
  </si>
  <si>
    <t xml:space="preserve">2026-07-03</t>
  </si>
  <si>
    <t xml:space="preserve">REM-9000129</t>
  </si>
  <si>
    <t xml:space="preserve">Execution price deviated -90.5 bps from benchmark (limit 15bps)</t>
  </si>
  <si>
    <t xml:space="preserve">REM-9000130</t>
  </si>
  <si>
    <t xml:space="preserve">Execution price deviated -80.0 bps from benchmark (limit 15bps)</t>
  </si>
  <si>
    <t xml:space="preserve">REM-9000131</t>
  </si>
  <si>
    <t xml:space="preserve">Execution price deviated -23.3 bps from benchmark (limit 15bps)</t>
  </si>
  <si>
    <t xml:space="preserve">2026-09-04</t>
  </si>
  <si>
    <t xml:space="preserve">REM-9000132</t>
  </si>
  <si>
    <t xml:space="preserve">Execution price deviated -25.5 bps from benchmark (limit 15bps)</t>
  </si>
  <si>
    <t xml:space="preserve">2026-09-05</t>
  </si>
  <si>
    <t xml:space="preserve">REM-9000133</t>
  </si>
  <si>
    <t xml:space="preserve">Execution price deviated 41.0 bps from benchmark (limit 15bps)</t>
  </si>
  <si>
    <t xml:space="preserve">REM-9000134</t>
  </si>
  <si>
    <t xml:space="preserve">Execution price deviated 40.0 bps from benchmark (limit 15bps)</t>
  </si>
  <si>
    <t xml:space="preserve">2026-09-12</t>
  </si>
  <si>
    <t xml:space="preserve">REM-9000135</t>
  </si>
  <si>
    <t xml:space="preserve">Execution price deviated 29.7 bps from benchmark (limit 15bps)</t>
  </si>
  <si>
    <t xml:space="preserve">REM-9000136</t>
  </si>
  <si>
    <t xml:space="preserve">ALLOC_UNFAIR</t>
  </si>
  <si>
    <t xml:space="preserve">Allocation deviated 2.39 pts from pro-rata entitlement (limit 2pts)</t>
  </si>
  <si>
    <t xml:space="preserve">2025-09-04</t>
  </si>
  <si>
    <t xml:space="preserve">2025-09-24</t>
  </si>
  <si>
    <t xml:space="preserve">REM-9000137</t>
  </si>
  <si>
    <t xml:space="preserve">Allocation deviated 3.88 pts from pro-rata entitlement (limit 2pts)</t>
  </si>
  <si>
    <t xml:space="preserve">2025-09-05</t>
  </si>
  <si>
    <t xml:space="preserve">2025-09-25</t>
  </si>
  <si>
    <t xml:space="preserve">REM-9000138</t>
  </si>
  <si>
    <t xml:space="preserve">Allocation deviated 7.0 pts from pro-rata entitlement (limit 2pts)</t>
  </si>
  <si>
    <t xml:space="preserve">2025-09-08</t>
  </si>
  <si>
    <t xml:space="preserve">2025-09-28</t>
  </si>
  <si>
    <t xml:space="preserve">REM-9000139</t>
  </si>
  <si>
    <t xml:space="preserve">Allocation deviated 13.21 pts from pro-rata entitlement (limit 2pts)</t>
  </si>
  <si>
    <t xml:space="preserve">2025-09-12</t>
  </si>
  <si>
    <t xml:space="preserve">2025-10-02</t>
  </si>
  <si>
    <t xml:space="preserve">REM-9000140</t>
  </si>
  <si>
    <t xml:space="preserve">Allocation deviated 24.69 pts from pro-rata entitlement (limit 2pts)</t>
  </si>
  <si>
    <t xml:space="preserve">2025-09-17</t>
  </si>
  <si>
    <t xml:space="preserve">2025-10-07</t>
  </si>
  <si>
    <t xml:space="preserve">REM-9000141</t>
  </si>
  <si>
    <t xml:space="preserve">Allocation deviated 3.64 pts from pro-rata entitlement (limit 2pts)</t>
  </si>
  <si>
    <t xml:space="preserve">2025-09-22</t>
  </si>
  <si>
    <t xml:space="preserve">2025-10-12</t>
  </si>
  <si>
    <t xml:space="preserve">REM-9000142</t>
  </si>
  <si>
    <t xml:space="preserve">Allocation deviated 6.3 pts from pro-rata entitlement (limit 2pts)</t>
  </si>
  <si>
    <t xml:space="preserve">REM-9000143</t>
  </si>
  <si>
    <t xml:space="preserve">Allocation deviated 6.44 pts from pro-rata entitlement (limit 2pts)</t>
  </si>
  <si>
    <t xml:space="preserve">2025-09-26</t>
  </si>
  <si>
    <t xml:space="preserve">REM-9000144</t>
  </si>
  <si>
    <t xml:space="preserve">Allocation deviated 7.48 pts from pro-rata entitlement (limit 2pts)</t>
  </si>
  <si>
    <t xml:space="preserve">2025-10-03</t>
  </si>
  <si>
    <t xml:space="preserve">2025-10-23</t>
  </si>
  <si>
    <t xml:space="preserve">REM-9000145</t>
  </si>
  <si>
    <t xml:space="preserve">Allocation deviated 3.31 pts from pro-rata entitlement (limit 2pts)</t>
  </si>
  <si>
    <t xml:space="preserve">REM-9000146</t>
  </si>
  <si>
    <t xml:space="preserve">Allocation deviated 5.17 pts from pro-rata entitlement (limit 2pts)</t>
  </si>
  <si>
    <t xml:space="preserve">2025-10-21</t>
  </si>
  <si>
    <t xml:space="preserve">2025-11-10</t>
  </si>
  <si>
    <t xml:space="preserve">REM-9000147</t>
  </si>
  <si>
    <t xml:space="preserve">Allocation deviated 3.49 pts from pro-rata entitlement (limit 2pts)</t>
  </si>
  <si>
    <t xml:space="preserve">2025-10-22</t>
  </si>
  <si>
    <t xml:space="preserve">2025-11-11</t>
  </si>
  <si>
    <t xml:space="preserve">REM-9000148</t>
  </si>
  <si>
    <t xml:space="preserve">Allocation deviated 8.34 pts from pro-rata entitlement (limit 2pts)</t>
  </si>
  <si>
    <t xml:space="preserve">2025-11-12</t>
  </si>
  <si>
    <t xml:space="preserve">REM-9000149</t>
  </si>
  <si>
    <t xml:space="preserve">Allocation deviated 35.68 pts from pro-rata entitlement (limit 2pts)</t>
  </si>
  <si>
    <t xml:space="preserve">REM-9000150</t>
  </si>
  <si>
    <t xml:space="preserve">Allocation deviated 10.31 pts from pro-rata entitlement (limit 2pts)</t>
  </si>
  <si>
    <t xml:space="preserve">2025-10-28</t>
  </si>
  <si>
    <t xml:space="preserve">2025-11-17</t>
  </si>
  <si>
    <t xml:space="preserve">REM-9000151</t>
  </si>
  <si>
    <t xml:space="preserve">Allocation deviated 4.49 pts from pro-rata entitlement (limit 2pts)</t>
  </si>
  <si>
    <t xml:space="preserve">REM-9000152</t>
  </si>
  <si>
    <t xml:space="preserve">Allocation deviated 4.76 pts from pro-rata entitlement (limit 2pts)</t>
  </si>
  <si>
    <t xml:space="preserve">2025-11-05</t>
  </si>
  <si>
    <t xml:space="preserve">2025-11-25</t>
  </si>
  <si>
    <t xml:space="preserve">REM-9000153</t>
  </si>
  <si>
    <t xml:space="preserve">Allocation deviated 7.83 pts from pro-rata entitlement (limit 2pts)</t>
  </si>
  <si>
    <t xml:space="preserve">REM-9000154</t>
  </si>
  <si>
    <t xml:space="preserve">Allocation deviated 75.15 pts from pro-rata entitlement (limit 2pts)</t>
  </si>
  <si>
    <t xml:space="preserve">2025-12-01</t>
  </si>
  <si>
    <t xml:space="preserve">REM-9000155</t>
  </si>
  <si>
    <t xml:space="preserve">Allocation deviated 2.74 pts from pro-rata entitlement (limit 2pts)</t>
  </si>
  <si>
    <t xml:space="preserve">2025-12-07</t>
  </si>
  <si>
    <t xml:space="preserve">REM-9000156</t>
  </si>
  <si>
    <t xml:space="preserve">Allocation deviated 25.1 pts from pro-rata entitlement (limit 2pts)</t>
  </si>
  <si>
    <t xml:space="preserve">2025-11-21</t>
  </si>
  <si>
    <t xml:space="preserve">2025-12-11</t>
  </si>
  <si>
    <t xml:space="preserve">REM-9000157</t>
  </si>
  <si>
    <t xml:space="preserve">Allocation deviated 37.11 pts from pro-rata entitlement (limit 2pts)</t>
  </si>
  <si>
    <t xml:space="preserve">REM-9000158</t>
  </si>
  <si>
    <t xml:space="preserve">Allocation deviated 10.94 pts from pro-rata entitlement (limit 2pts)</t>
  </si>
  <si>
    <t xml:space="preserve">2025-11-26</t>
  </si>
  <si>
    <t xml:space="preserve">2025-12-16</t>
  </si>
  <si>
    <t xml:space="preserve">REM-9000159</t>
  </si>
  <si>
    <t xml:space="preserve">Allocation deviated 5.51 pts from pro-rata entitlement (limit 2pts)</t>
  </si>
  <si>
    <t xml:space="preserve">2025-11-28</t>
  </si>
  <si>
    <t xml:space="preserve">2025-12-18</t>
  </si>
  <si>
    <t xml:space="preserve">REM-9000160</t>
  </si>
  <si>
    <t xml:space="preserve">Allocation deviated 11.17 pts from pro-rata entitlement (limit 2pts)</t>
  </si>
  <si>
    <t xml:space="preserve">2025-12-21</t>
  </si>
  <si>
    <t xml:space="preserve">REM-9000161</t>
  </si>
  <si>
    <t xml:space="preserve">Allocation deviated 3.23 pts from pro-rata entitlement (limit 2pts)</t>
  </si>
  <si>
    <t xml:space="preserve">2025-12-10</t>
  </si>
  <si>
    <t xml:space="preserve">2025-12-30</t>
  </si>
  <si>
    <t xml:space="preserve">REM-9000162</t>
  </si>
  <si>
    <t xml:space="preserve">Allocation deviated 4.31 pts from pro-rata entitlement (limit 2pts)</t>
  </si>
  <si>
    <t xml:space="preserve">2025-12-31</t>
  </si>
  <si>
    <t xml:space="preserve">REM-9000163</t>
  </si>
  <si>
    <t xml:space="preserve">Allocation deviated 4.51 pts from pro-rata entitlement (limit 2pts)</t>
  </si>
  <si>
    <t xml:space="preserve">2025-12-12</t>
  </si>
  <si>
    <t xml:space="preserve">2026-01-01</t>
  </si>
  <si>
    <t xml:space="preserve">REM-9000164</t>
  </si>
  <si>
    <t xml:space="preserve">Allocation deviated 5.45 pts from pro-rata entitlement (limit 2pts)</t>
  </si>
  <si>
    <t xml:space="preserve">2026-01-05</t>
  </si>
  <si>
    <t xml:space="preserve">REM-9000165</t>
  </si>
  <si>
    <t xml:space="preserve">Allocation deviated 7.99 pts from pro-rata entitlement (limit 2pts)</t>
  </si>
  <si>
    <t xml:space="preserve">2025-12-22</t>
  </si>
  <si>
    <t xml:space="preserve">2026-01-11</t>
  </si>
  <si>
    <t xml:space="preserve">REM-9000166</t>
  </si>
  <si>
    <t xml:space="preserve">Allocation deviated 6.87 pts from pro-rata entitlement (limit 2pts)</t>
  </si>
  <si>
    <t xml:space="preserve">2026-01-06</t>
  </si>
  <si>
    <t xml:space="preserve">2026-01-26</t>
  </si>
  <si>
    <t xml:space="preserve">REM-9000167</t>
  </si>
  <si>
    <t xml:space="preserve">Allocation deviated 6.41 pts from pro-rata entitlement (limit 2pts)</t>
  </si>
  <si>
    <t xml:space="preserve">2026-01-13</t>
  </si>
  <si>
    <t xml:space="preserve">2026-02-02</t>
  </si>
  <si>
    <t xml:space="preserve">REM-9000168</t>
  </si>
  <si>
    <t xml:space="preserve">2026-01-14</t>
  </si>
  <si>
    <t xml:space="preserve">2026-02-03</t>
  </si>
  <si>
    <t xml:space="preserve">REM-9000169</t>
  </si>
  <si>
    <t xml:space="preserve">Allocation deviated 12.31 pts from pro-rata entitlement (limit 2pts)</t>
  </si>
  <si>
    <t xml:space="preserve">REM-9000170</t>
  </si>
  <si>
    <t xml:space="preserve">Allocation deviated 11.5 pts from pro-rata entitlement (limit 2pts)</t>
  </si>
  <si>
    <t xml:space="preserve">2026-02-22</t>
  </si>
  <si>
    <t xml:space="preserve">REM-9000171</t>
  </si>
  <si>
    <t xml:space="preserve">Allocation deviated 15.07 pts from pro-rata entitlement (limit 2pts)</t>
  </si>
  <si>
    <t xml:space="preserve">2026-02-04</t>
  </si>
  <si>
    <t xml:space="preserve">2026-02-24</t>
  </si>
  <si>
    <t xml:space="preserve">REM-9000172</t>
  </si>
  <si>
    <t xml:space="preserve">Allocation deviated 4.66 pts from pro-rata entitlement (limit 2pts)</t>
  </si>
  <si>
    <t xml:space="preserve">2026-02-10</t>
  </si>
  <si>
    <t xml:space="preserve">2026-03-02</t>
  </si>
  <si>
    <t xml:space="preserve">REM-9000173</t>
  </si>
  <si>
    <t xml:space="preserve">Allocation deviated 10.07 pts from pro-rata entitlement (limit 2pts)</t>
  </si>
  <si>
    <t xml:space="preserve">2026-02-16</t>
  </si>
  <si>
    <t xml:space="preserve">2026-03-08</t>
  </si>
  <si>
    <t xml:space="preserve">REM-9000174</t>
  </si>
  <si>
    <t xml:space="preserve">Allocation deviated 2.36 pts from pro-rata entitlement (limit 2pts)</t>
  </si>
  <si>
    <t xml:space="preserve">REM-9000175</t>
  </si>
  <si>
    <t xml:space="preserve">Allocation deviated 4.57 pts from pro-rata entitlement (limit 2pts)</t>
  </si>
  <si>
    <t xml:space="preserve">2026-03-12</t>
  </si>
  <si>
    <t xml:space="preserve">REM-9000176</t>
  </si>
  <si>
    <t xml:space="preserve">Allocation deviated 23.97 pts from pro-rata entitlement (limit 2pts)</t>
  </si>
  <si>
    <t xml:space="preserve">2026-02-26</t>
  </si>
  <si>
    <t xml:space="preserve">2026-03-18</t>
  </si>
  <si>
    <t xml:space="preserve">REM-9000177</t>
  </si>
  <si>
    <t xml:space="preserve">Allocation deviated 7.75 pts from pro-rata entitlement (limit 2pts)</t>
  </si>
  <si>
    <t xml:space="preserve">2026-03-04</t>
  </si>
  <si>
    <t xml:space="preserve">2026-03-24</t>
  </si>
  <si>
    <t xml:space="preserve">REM-9000178</t>
  </si>
  <si>
    <t xml:space="preserve">Allocation deviated 5.21 pts from pro-rata entitlement (limit 2pts)</t>
  </si>
  <si>
    <t xml:space="preserve">2026-03-30</t>
  </si>
  <si>
    <t xml:space="preserve">REM-9000179</t>
  </si>
  <si>
    <t xml:space="preserve">Allocation deviated 15.43 pts from pro-rata entitlement (limit 2pts)</t>
  </si>
  <si>
    <t xml:space="preserve">2026-03-31</t>
  </si>
  <si>
    <t xml:space="preserve">2026-04-20</t>
  </si>
  <si>
    <t xml:space="preserve">REM-9000180</t>
  </si>
  <si>
    <t xml:space="preserve">Allocation deviated 5.14 pts from pro-rata entitlement (limit 2pts)</t>
  </si>
  <si>
    <t xml:space="preserve">2026-04-03</t>
  </si>
  <si>
    <t xml:space="preserve">2026-04-23</t>
  </si>
  <si>
    <t xml:space="preserve">REM-9000181</t>
  </si>
  <si>
    <t xml:space="preserve">Allocation deviated 4.69 pts from pro-rata entitlement (limit 2pts)</t>
  </si>
  <si>
    <t xml:space="preserve">2026-04-07</t>
  </si>
  <si>
    <t xml:space="preserve">2026-04-27</t>
  </si>
  <si>
    <t xml:space="preserve">REM-9000182</t>
  </si>
  <si>
    <t xml:space="preserve">Allocation deviated 4.27 pts from pro-rata entitlement (limit 2pts)</t>
  </si>
  <si>
    <t xml:space="preserve">2026-04-13</t>
  </si>
  <si>
    <t xml:space="preserve">2026-05-03</t>
  </si>
  <si>
    <t xml:space="preserve">REM-9000183</t>
  </si>
  <si>
    <t xml:space="preserve">Allocation deviated 8.11 pts from pro-rata entitlement (limit 2pts)</t>
  </si>
  <si>
    <t xml:space="preserve">2026-04-16</t>
  </si>
  <si>
    <t xml:space="preserve">2026-05-06</t>
  </si>
  <si>
    <t xml:space="preserve">REM-9000184</t>
  </si>
  <si>
    <t xml:space="preserve">Allocation deviated 3.3 pts from pro-rata entitlement (limit 2pts)</t>
  </si>
  <si>
    <t xml:space="preserve">2026-05-07</t>
  </si>
  <si>
    <t xml:space="preserve">REM-9000185</t>
  </si>
  <si>
    <t xml:space="preserve">Allocation deviated 29.08 pts from pro-rata entitlement (limit 2pts)</t>
  </si>
  <si>
    <t xml:space="preserve">2026-05-10</t>
  </si>
  <si>
    <t xml:space="preserve">REM-9000186</t>
  </si>
  <si>
    <t xml:space="preserve">Allocation deviated 5.23 pts from pro-rata entitlement (limit 2pts)</t>
  </si>
  <si>
    <t xml:space="preserve">2026-04-24</t>
  </si>
  <si>
    <t xml:space="preserve">2026-05-14</t>
  </si>
  <si>
    <t xml:space="preserve">REM-9000187</t>
  </si>
  <si>
    <t xml:space="preserve">Allocation deviated 7.26 pts from pro-rata entitlement (limit 2pts)</t>
  </si>
  <si>
    <t xml:space="preserve">2026-05-17</t>
  </si>
  <si>
    <t xml:space="preserve">REM-9000188</t>
  </si>
  <si>
    <t xml:space="preserve">Allocation deviated 24.78 pts from pro-rata entitlement (limit 2pts)</t>
  </si>
  <si>
    <t xml:space="preserve">REM-9000189</t>
  </si>
  <si>
    <t xml:space="preserve">Allocation deviated 5.43 pts from pro-rata entitlement (limit 2pts)</t>
  </si>
  <si>
    <t xml:space="preserve">REM-9000190</t>
  </si>
  <si>
    <t xml:space="preserve">Allocation deviated 5.11 pts from pro-rata entitlement (limit 2pts)</t>
  </si>
  <si>
    <t xml:space="preserve">2026-05-20</t>
  </si>
  <si>
    <t xml:space="preserve">REM-9000191</t>
  </si>
  <si>
    <t xml:space="preserve">Allocation deviated 8.52 pts from pro-rata entitlement (limit 2pts)</t>
  </si>
  <si>
    <t xml:space="preserve">2026-05-26</t>
  </si>
  <si>
    <t xml:space="preserve">2026-06-15</t>
  </si>
  <si>
    <t xml:space="preserve">REM-9000192</t>
  </si>
  <si>
    <t xml:space="preserve">REM-9000193</t>
  </si>
  <si>
    <t xml:space="preserve">Allocation deviated 3.61 pts from pro-rata entitlement (limit 2pts)</t>
  </si>
  <si>
    <t xml:space="preserve">REM-9000194</t>
  </si>
  <si>
    <t xml:space="preserve">Allocation deviated 19.17 pts from pro-rata entitlement (limit 2pts)</t>
  </si>
  <si>
    <t xml:space="preserve">2026-06-10</t>
  </si>
  <si>
    <t xml:space="preserve">2026-06-30</t>
  </si>
  <si>
    <t xml:space="preserve">REM-9000195</t>
  </si>
  <si>
    <t xml:space="preserve">Allocation deviated 591.08 pts from pro-rata entitlement (limit 2pts)</t>
  </si>
  <si>
    <t xml:space="preserve">REM-9000196</t>
  </si>
  <si>
    <t xml:space="preserve">Allocation deviated 17.73 pts from pro-rata entitlement (limit 2pts)</t>
  </si>
  <si>
    <t xml:space="preserve">REM-9000197</t>
  </si>
  <si>
    <t xml:space="preserve">Allocation deviated 3.92 pts from pro-rata entitlement (limit 2pts)</t>
  </si>
  <si>
    <t xml:space="preserve">REM-9000198</t>
  </si>
  <si>
    <t xml:space="preserve">Allocation deviated 3.41 pts from pro-rata entitlement (limit 2pts)</t>
  </si>
  <si>
    <t xml:space="preserve">2026-07-01</t>
  </si>
  <si>
    <t xml:space="preserve">REM-9000199</t>
  </si>
  <si>
    <t xml:space="preserve">Allocation deviated 6.58 pts from pro-rata entitlement (limit 2pts)</t>
  </si>
  <si>
    <t xml:space="preserve">REM-9000200</t>
  </si>
  <si>
    <t xml:space="preserve">Allocation deviated 15.25 pts from pro-rata entitlement (limit 2pts)</t>
  </si>
  <si>
    <t xml:space="preserve">REM-9000201</t>
  </si>
  <si>
    <t xml:space="preserve">Allocation deviated 8.16 pts from pro-rata entitlement (limit 2pts)</t>
  </si>
  <si>
    <t xml:space="preserve">2026-07-31</t>
  </si>
  <si>
    <t xml:space="preserve">REM-9000202</t>
  </si>
  <si>
    <t xml:space="preserve">Allocation deviated 6.23 pts from pro-rata entitlement (limit 2pts)</t>
  </si>
  <si>
    <t xml:space="preserve">REM-9000203</t>
  </si>
  <si>
    <t xml:space="preserve">Allocation deviated 5.88 pts from pro-rata entitlement (limit 2pts)</t>
  </si>
  <si>
    <t xml:space="preserve">2026-08-04</t>
  </si>
  <si>
    <t xml:space="preserve">REM-9000204</t>
  </si>
  <si>
    <t xml:space="preserve">Allocation deviated 6.54 pts from pro-rata entitlement (limit 2pts)</t>
  </si>
  <si>
    <t xml:space="preserve">REM-9000205</t>
  </si>
  <si>
    <t xml:space="preserve">Allocation deviated 6.49 pts from pro-rata entitlement (limit 2pts)</t>
  </si>
  <si>
    <t xml:space="preserve">REM-9000206</t>
  </si>
  <si>
    <t xml:space="preserve">Allocation deviated 2.02 pts from pro-rata entitlement (limit 2pts)</t>
  </si>
  <si>
    <t xml:space="preserve">REM-9000207</t>
  </si>
  <si>
    <t xml:space="preserve">Allocation deviated 17.4 pts from pro-rata entitlement (limit 2pts)</t>
  </si>
  <si>
    <t xml:space="preserve">REM-9000208</t>
  </si>
  <si>
    <t xml:space="preserve">Allocation deviated 7.53 pts from pro-rata entitlement (limit 2pts)</t>
  </si>
  <si>
    <t xml:space="preserve">REM-9000209</t>
  </si>
  <si>
    <t xml:space="preserve">Allocation deviated 3.56 pts from pro-rata entitlement (limit 2pts)</t>
  </si>
  <si>
    <t xml:space="preserve">REM-9000210</t>
  </si>
  <si>
    <t xml:space="preserve">Allocation deviated 22.23 pts from pro-rata entitlement (limit 2pts)</t>
  </si>
  <si>
    <t xml:space="preserve">REM-9000211</t>
  </si>
  <si>
    <t xml:space="preserve">Allocation deviated 24.53 pts from pro-rata entitlement (limit 2pts)</t>
  </si>
  <si>
    <t xml:space="preserve">REM-9000212</t>
  </si>
  <si>
    <t xml:space="preserve">Allocation deviated 8.3 pts from pro-rata entitlement (limit 2pts)</t>
  </si>
  <si>
    <t xml:space="preserve">REM-9000213</t>
  </si>
  <si>
    <t xml:space="preserve">Allocation deviated 24.28 pts from pro-rata entitlement (limit 2pts)</t>
  </si>
  <si>
    <t xml:space="preserve">REM-9000214</t>
  </si>
  <si>
    <t xml:space="preserve">Allocation deviated 61.64 pts from pro-rata entitlement (limit 2pts)</t>
  </si>
  <si>
    <t xml:space="preserve">REM-9000215</t>
  </si>
  <si>
    <t xml:space="preserve">Allocation deviated 6.39 pts from pro-rata entitlement (limit 2pts)</t>
  </si>
  <si>
    <t xml:space="preserve">REM-9000216</t>
  </si>
  <si>
    <t xml:space="preserve">Allocation deviated 7.39 pts from pro-rata entitlement (limit 2pts)</t>
  </si>
  <si>
    <t xml:space="preserve">REM-9000217</t>
  </si>
  <si>
    <t xml:space="preserve">Allocation deviated 30.25 pts from pro-rata entitlement (limit 2pts)</t>
  </si>
  <si>
    <t xml:space="preserve">REM-9000218</t>
  </si>
  <si>
    <t xml:space="preserve">Allocation deviated 4.02 pts from pro-rata entitlement (limit 2pts)</t>
  </si>
  <si>
    <t xml:space="preserve">REM-9000219</t>
  </si>
  <si>
    <t xml:space="preserve">REM-9000220</t>
  </si>
  <si>
    <t xml:space="preserve">Allocation deviated 42.61 pts from pro-rata entitlement (limit 2pts)</t>
  </si>
  <si>
    <t xml:space="preserve">REM-9000221</t>
  </si>
  <si>
    <t xml:space="preserve">Allocation deviated 11.34 pts from pro-rata entitlement (limit 2pts)</t>
  </si>
  <si>
    <t xml:space="preserve">REM-9000222</t>
  </si>
  <si>
    <t xml:space="preserve">Allocation deviated 3.04 pts from pro-rata entitlement (limit 2pts)</t>
  </si>
  <si>
    <t xml:space="preserve">REM-9000223</t>
  </si>
  <si>
    <t xml:space="preserve">Allocation deviated 4.05 pts from pro-rata entitlement (limit 2pts)</t>
  </si>
  <si>
    <t xml:space="preserve">REM-9000224</t>
  </si>
  <si>
    <t xml:space="preserve">Allocation deviated 3.94 pts from pro-rata entitlement (limit 2pts)</t>
  </si>
  <si>
    <t xml:space="preserve">REM-9000225</t>
  </si>
  <si>
    <t xml:space="preserve">Allocation deviated 20.84 pts from pro-rata entitlement (limit 2pts)</t>
  </si>
  <si>
    <t xml:space="preserve">REM-9000226</t>
  </si>
  <si>
    <t xml:space="preserve">Allocation deviated 26.24 pts from pro-rata entitlement (limit 2pts)</t>
  </si>
  <si>
    <t xml:space="preserve">REM-9000227</t>
  </si>
  <si>
    <t xml:space="preserve">Allocation deviated 5.44 pts from pro-rata entitlement (limit 2pts)</t>
  </si>
  <si>
    <t xml:space="preserve">REM-9000228</t>
  </si>
  <si>
    <t xml:space="preserve">M. Cho, Billing Ops</t>
  </si>
  <si>
    <t xml:space="preserve">FEE_MISMATCH</t>
  </si>
  <si>
    <t xml:space="preserve">Billed fee variance 11.38% vs recalculated (limit 0.5%)</t>
  </si>
  <si>
    <t xml:space="preserve">2025-09-30</t>
  </si>
  <si>
    <t xml:space="preserve">REM-9000229</t>
  </si>
  <si>
    <t xml:space="preserve">Billed fee variance 9.82% vs recalculated (limit 0.5%)</t>
  </si>
  <si>
    <t xml:space="preserve">REM-9000230</t>
  </si>
  <si>
    <t xml:space="preserve">Billed fee variance 5.48% vs recalculated (limit 0.5%)</t>
  </si>
  <si>
    <t xml:space="preserve">REM-9000231</t>
  </si>
  <si>
    <t xml:space="preserve">Billed fee variance 11.13% vs recalculated (limit 0.5%)</t>
  </si>
  <si>
    <t xml:space="preserve">2026-02-28</t>
  </si>
  <si>
    <t xml:space="preserve">2026-03-15</t>
  </si>
  <si>
    <t xml:space="preserve">REM-9000232</t>
  </si>
  <si>
    <t xml:space="preserve">Billed fee variance 2.46% vs recalculated (limit 0.5%)</t>
  </si>
  <si>
    <t xml:space="preserve">REM-9000233</t>
  </si>
  <si>
    <t xml:space="preserve">Billed fee variance 10.2% vs recalculated (limit 0.5%)</t>
  </si>
  <si>
    <t xml:space="preserve">REM-9000234</t>
  </si>
  <si>
    <t xml:space="preserve">Billed fee variance 3.26% vs recalculated (limit 0.5%)</t>
  </si>
  <si>
    <t xml:space="preserve">REM-9000235</t>
  </si>
  <si>
    <t xml:space="preserve">Billed fee variance 5.23% vs recalculated (limit 0.5%)</t>
  </si>
  <si>
    <t xml:space="preserve">2026-08-15</t>
  </si>
  <si>
    <t xml:space="preserve">REM-9000236</t>
  </si>
  <si>
    <t xml:space="preserve">Billed fee variance 7.39% vs recalculated (limit 0.5%)</t>
  </si>
  <si>
    <t xml:space="preserve">REM-9000237</t>
  </si>
  <si>
    <t xml:space="preserve">Billed fee variance 5.3% vs recalculated (limit 0.5%)</t>
  </si>
  <si>
    <t xml:space="preserve">REM-9000238</t>
  </si>
  <si>
    <t xml:space="preserve">Billed fee variance 1.03% vs recalculated (limit 0.5%)</t>
  </si>
  <si>
    <t xml:space="preserve">REM-9000239</t>
  </si>
  <si>
    <t xml:space="preserve">Billed fee variance 12.58% vs recalculated (limit 0.5%)</t>
  </si>
  <si>
    <t xml:space="preserve">REM-9000240</t>
  </si>
  <si>
    <t xml:space="preserve">INVOICE_LATE</t>
  </si>
  <si>
    <t xml:space="preserve">Invoice issued 11 business days after period end (limit 10)</t>
  </si>
  <si>
    <t xml:space="preserve">2025-11-16</t>
  </si>
  <si>
    <t xml:space="preserve">2025-12-06</t>
  </si>
  <si>
    <t xml:space="preserve">REM-9000241</t>
  </si>
  <si>
    <t xml:space="preserve">Invoice issued 12 business days after period end (limit 10)</t>
  </si>
  <si>
    <t xml:space="preserve">2025-12-08</t>
  </si>
  <si>
    <t xml:space="preserve">REM-9000242</t>
  </si>
  <si>
    <t xml:space="preserve">Invoice issued 15 business days after period end (limit 10)</t>
  </si>
  <si>
    <t xml:space="preserve">2025-12-20</t>
  </si>
  <si>
    <t xml:space="preserve">2026-01-09</t>
  </si>
  <si>
    <t xml:space="preserve">REM-9000243</t>
  </si>
  <si>
    <t xml:space="preserve">2026-01-15</t>
  </si>
  <si>
    <t xml:space="preserve">REM-9000244</t>
  </si>
  <si>
    <t xml:space="preserve">2026-02-17</t>
  </si>
  <si>
    <t xml:space="preserve">2026-03-09</t>
  </si>
  <si>
    <t xml:space="preserve">REM-9000245</t>
  </si>
  <si>
    <t xml:space="preserve">Invoice issued 14 business days after period end (limit 10)</t>
  </si>
  <si>
    <t xml:space="preserve">REM-9000246</t>
  </si>
  <si>
    <t xml:space="preserve">REM-9000247</t>
  </si>
  <si>
    <t xml:space="preserve">2026-08-16</t>
  </si>
  <si>
    <t xml:space="preserve">REM-9000248</t>
  </si>
  <si>
    <t xml:space="preserve">REM-9000249</t>
  </si>
  <si>
    <t xml:space="preserve">REM-9000250</t>
  </si>
  <si>
    <t xml:space="preserve">REM-9000251</t>
  </si>
  <si>
    <t xml:space="preserve">REM-9000252</t>
  </si>
  <si>
    <t xml:space="preserve">REM-9000253</t>
  </si>
  <si>
    <t xml:space="preserve">REM-9000254</t>
  </si>
  <si>
    <t xml:space="preserve">REM-9000255</t>
  </si>
  <si>
    <t xml:space="preserve">REM-9000256</t>
  </si>
  <si>
    <t xml:space="preserve">Invoice issued 13 business days after period end (limit 10)</t>
  </si>
  <si>
    <t xml:space="preserve">2026-10-07</t>
  </si>
  <si>
    <t xml:space="preserve">REM-9000257</t>
  </si>
  <si>
    <t xml:space="preserve">2026-09-21</t>
  </si>
  <si>
    <t xml:space="preserve">2026-10-11</t>
  </si>
  <si>
    <t xml:space="preserve">REM-9000258</t>
  </si>
  <si>
    <t xml:space="preserve">REM-9000259</t>
  </si>
  <si>
    <t xml:space="preserve">2026-10-05</t>
  </si>
  <si>
    <t xml:space="preserve">REM-9000260</t>
  </si>
  <si>
    <t xml:space="preserve">2026-10-06</t>
  </si>
  <si>
    <t xml:space="preserve">REM-9000261</t>
  </si>
  <si>
    <t xml:space="preserve">2026-10-10</t>
  </si>
  <si>
    <t xml:space="preserve">REM-9000262</t>
  </si>
  <si>
    <t xml:space="preserve">2026-09-18</t>
  </si>
  <si>
    <t xml:space="preserve">2026-10-08</t>
  </si>
  <si>
    <t xml:space="preserve">REM-9000263</t>
  </si>
  <si>
    <t xml:space="preserve">REM-9000264</t>
  </si>
  <si>
    <t xml:space="preserve">REM-9000265</t>
  </si>
  <si>
    <t xml:space="preserve">REM-9000266</t>
  </si>
  <si>
    <t xml:space="preserve">REM-9000267</t>
  </si>
  <si>
    <t xml:space="preserve">2026-09-19</t>
  </si>
  <si>
    <t xml:space="preserve">2026-10-09</t>
  </si>
  <si>
    <t xml:space="preserve">REM-9000268</t>
  </si>
  <si>
    <t xml:space="preserve">R. Alavi, Compliance Ops</t>
  </si>
  <si>
    <t xml:space="preserve">KYC_OPEN_PAST_DUE</t>
  </si>
  <si>
    <t xml:space="preserve">Refresh still open past due date 2025-11-02</t>
  </si>
  <si>
    <t xml:space="preserve">2025-11-02</t>
  </si>
  <si>
    <t xml:space="preserve">REM-9000269</t>
  </si>
  <si>
    <t xml:space="preserve">KYC_LATE</t>
  </si>
  <si>
    <t xml:space="preserve">42 days late vs. due date</t>
  </si>
  <si>
    <t xml:space="preserve">REM-9000270</t>
  </si>
  <si>
    <t xml:space="preserve">3 days late vs. due date</t>
  </si>
  <si>
    <t xml:space="preserve">2026-03-06</t>
  </si>
  <si>
    <t xml:space="preserve">REM-9000271</t>
  </si>
  <si>
    <t xml:space="preserve">4 days late vs. due date</t>
  </si>
  <si>
    <t xml:space="preserve">2026-05-31</t>
  </si>
  <si>
    <t xml:space="preserve">REM-9000272</t>
  </si>
  <si>
    <t xml:space="preserve">36 days late vs. due date</t>
  </si>
  <si>
    <t xml:space="preserve">2026-08-02</t>
  </si>
  <si>
    <t xml:space="preserve">REM-9000273</t>
  </si>
  <si>
    <t xml:space="preserve">6 days late vs. due date</t>
  </si>
  <si>
    <t xml:space="preserve">REM-9000274</t>
  </si>
  <si>
    <t xml:space="preserve">5 days late vs. due date</t>
  </si>
  <si>
    <t xml:space="preserve">REM-9000275</t>
  </si>
  <si>
    <t xml:space="preserve">37 days late vs. due date</t>
  </si>
  <si>
    <t xml:space="preserve">2026-08-01</t>
  </si>
  <si>
    <t xml:space="preserve">REM-9000276</t>
  </si>
  <si>
    <t xml:space="preserve">11 days late vs. due date</t>
  </si>
  <si>
    <t xml:space="preserve">REM-9000277</t>
  </si>
  <si>
    <t xml:space="preserve">13 days late vs. due date</t>
  </si>
  <si>
    <t xml:space="preserve">REM-9000278</t>
  </si>
  <si>
    <t xml:space="preserve">33 days late vs. due date</t>
  </si>
  <si>
    <t xml:space="preserve">REM-9000279</t>
  </si>
  <si>
    <t xml:space="preserve">REM-9000280</t>
  </si>
  <si>
    <t xml:space="preserve">34 days late vs. due date</t>
  </si>
  <si>
    <t xml:space="preserve">REM-9000281</t>
  </si>
  <si>
    <t xml:space="preserve">22 days late vs. due date</t>
  </si>
  <si>
    <t xml:space="preserve">REM-9000282</t>
  </si>
  <si>
    <t xml:space="preserve">23 days late vs. due date</t>
  </si>
  <si>
    <t xml:space="preserve">REM-9000283</t>
  </si>
  <si>
    <t xml:space="preserve">40 days late vs. due date</t>
  </si>
  <si>
    <t xml:space="preserve">REM-9000284</t>
  </si>
  <si>
    <t xml:space="preserve">2026-10-04</t>
  </si>
  <si>
    <t xml:space="preserve">REM-9000285</t>
  </si>
  <si>
    <t xml:space="preserve">REM-9000286</t>
  </si>
  <si>
    <t xml:space="preserve">2026-10-01</t>
  </si>
  <si>
    <t xml:space="preserve">REM-9000287</t>
  </si>
  <si>
    <t xml:space="preserve">2026-10-02</t>
  </si>
  <si>
    <t xml:space="preserve">REM-9000288</t>
  </si>
  <si>
    <t xml:space="preserve">18 days late vs. due date</t>
  </si>
  <si>
    <t xml:space="preserve">2026-10-03</t>
  </si>
  <si>
    <t xml:space="preserve">REM-9000289</t>
  </si>
  <si>
    <t xml:space="preserve">15 days late vs. due date</t>
  </si>
  <si>
    <t xml:space="preserve">REM-9000290</t>
  </si>
  <si>
    <t xml:space="preserve">26 days late vs. due date</t>
  </si>
  <si>
    <t xml:space="preserve">REM-9000291</t>
  </si>
  <si>
    <t xml:space="preserve">REM-9000292</t>
  </si>
  <si>
    <t xml:space="preserve">REM-9000293</t>
  </si>
  <si>
    <t xml:space="preserve">7 days late vs. due date</t>
  </si>
  <si>
    <t xml:space="preserve">REM-9000294</t>
  </si>
  <si>
    <t xml:space="preserve">REM-9000295</t>
  </si>
  <si>
    <t xml:space="preserve">16 days late vs. due date</t>
  </si>
  <si>
    <t xml:space="preserve">REM-9000296</t>
  </si>
  <si>
    <t xml:space="preserve">32 days late vs. due date</t>
  </si>
  <si>
    <t xml:space="preserve">REM-9000297</t>
  </si>
  <si>
    <t xml:space="preserve">43 days late vs. due date</t>
  </si>
  <si>
    <t xml:space="preserve">REM-9000298</t>
  </si>
  <si>
    <t xml:space="preserve">12 days late vs. due date</t>
  </si>
  <si>
    <t xml:space="preserve">2026-09-30</t>
  </si>
  <si>
    <t xml:space="preserve">REM-9000299</t>
  </si>
  <si>
    <t xml:space="preserve">29 days late vs. due date</t>
  </si>
  <si>
    <t xml:space="preserve">REM-9000300</t>
  </si>
  <si>
    <t xml:space="preserve">38 days late vs. due date</t>
  </si>
  <si>
    <t xml:space="preserve">REM-9000301</t>
  </si>
  <si>
    <t xml:space="preserve">31 days late vs. due date</t>
  </si>
  <si>
    <t xml:space="preserve">REM-9000302</t>
  </si>
  <si>
    <t xml:space="preserve">REM-9000303</t>
  </si>
  <si>
    <t xml:space="preserve">8 days late vs. due date</t>
  </si>
  <si>
    <t xml:space="preserve">REM-9000304</t>
  </si>
  <si>
    <t xml:space="preserve">Refresh still open past due date 2026-09-04</t>
  </si>
  <si>
    <t xml:space="preserve">REM-9000305</t>
  </si>
  <si>
    <t xml:space="preserve">REM-9000306</t>
  </si>
  <si>
    <t xml:space="preserve">REM-9000307</t>
  </si>
  <si>
    <t xml:space="preserve">REM-9000308</t>
  </si>
  <si>
    <t xml:space="preserve">REM-9000309</t>
  </si>
  <si>
    <t xml:space="preserve">REM-9000310</t>
  </si>
  <si>
    <t xml:space="preserve">41 days late vs. due date</t>
  </si>
  <si>
    <t xml:space="preserve">REM-9000311</t>
  </si>
  <si>
    <t xml:space="preserve">27 days late vs. due date</t>
  </si>
  <si>
    <t xml:space="preserve">REM-9000312</t>
  </si>
  <si>
    <t xml:space="preserve">REM-9000313</t>
  </si>
  <si>
    <t xml:space="preserve">25 days late vs. due date</t>
  </si>
  <si>
    <t xml:space="preserve">REM-9000314</t>
  </si>
  <si>
    <t xml:space="preserve">REM-9000315</t>
  </si>
  <si>
    <t xml:space="preserve">10 days late vs. due date</t>
  </si>
  <si>
    <t xml:space="preserve">REM-9000316</t>
  </si>
  <si>
    <t xml:space="preserve">REM-9000317</t>
  </si>
  <si>
    <t xml:space="preserve">Refresh still open past due date 2026-09-03</t>
  </si>
  <si>
    <t xml:space="preserve">REM-9000318</t>
  </si>
  <si>
    <t xml:space="preserve">REM-9000319</t>
  </si>
  <si>
    <t xml:space="preserve">REM-9000320</t>
  </si>
  <si>
    <t xml:space="preserve">24 days late vs. due date</t>
  </si>
  <si>
    <t xml:space="preserve">REM-9000321</t>
  </si>
  <si>
    <t xml:space="preserve">REM-9000322</t>
  </si>
  <si>
    <t xml:space="preserve">21 days late vs. due date</t>
  </si>
  <si>
    <t xml:space="preserve">REM-9000323</t>
  </si>
  <si>
    <t xml:space="preserve">44 days late vs. due date</t>
  </si>
  <si>
    <t xml:space="preserve">REM-9000324</t>
  </si>
  <si>
    <t xml:space="preserve">39 days late vs. due date</t>
  </si>
  <si>
    <t xml:space="preserve">REM-9000325</t>
  </si>
  <si>
    <t xml:space="preserve">REM-9000326</t>
  </si>
  <si>
    <t xml:space="preserve">REM-9000327</t>
  </si>
  <si>
    <t xml:space="preserve">REM-9000328</t>
  </si>
  <si>
    <t xml:space="preserve">20 days late vs. due date</t>
  </si>
  <si>
    <t xml:space="preserve">REM-9000329</t>
  </si>
  <si>
    <t xml:space="preserve">KYC_DOCS_INCOMPLETE</t>
  </si>
  <si>
    <t xml:space="preserve">Required KYC documentation incomplete at review closure</t>
  </si>
  <si>
    <t xml:space="preserve">2026-06-03</t>
  </si>
  <si>
    <t xml:space="preserve">REM-9000330</t>
  </si>
  <si>
    <t xml:space="preserve">2026-07-04</t>
  </si>
  <si>
    <t xml:space="preserve">2026-07-24</t>
  </si>
  <si>
    <t xml:space="preserve">REM-9000331</t>
  </si>
  <si>
    <t xml:space="preserve">REM-9000332</t>
  </si>
  <si>
    <t xml:space="preserve">2026-09-24</t>
  </si>
  <si>
    <t xml:space="preserve">REM-9000333</t>
  </si>
  <si>
    <t xml:space="preserve">2026-09-23</t>
  </si>
  <si>
    <t xml:space="preserve">REM-9000334</t>
  </si>
  <si>
    <t xml:space="preserve">REM-9000335</t>
  </si>
  <si>
    <t xml:space="preserve">REM-9000336</t>
  </si>
  <si>
    <t xml:space="preserve">REM-9000337</t>
  </si>
  <si>
    <t xml:space="preserve">REM-9000338</t>
  </si>
  <si>
    <t xml:space="preserve">S. Okonjo, Valuation Control</t>
  </si>
  <si>
    <t xml:space="preserve">PRICE_BREAK</t>
  </si>
  <si>
    <t xml:space="preserve">Price variance 89.2 bps vs independent source (limit 25bps)</t>
  </si>
  <si>
    <t xml:space="preserve">2025-09-10</t>
  </si>
  <si>
    <t xml:space="preserve">2025-09-20</t>
  </si>
  <si>
    <t xml:space="preserve">REM-9000339</t>
  </si>
  <si>
    <t xml:space="preserve">Price variance 75.2 bps vs independent source (limit 25bps)</t>
  </si>
  <si>
    <t xml:space="preserve">REM-9000340</t>
  </si>
  <si>
    <t xml:space="preserve">Price variance 98.1 bps vs independent source (limit 25bps)</t>
  </si>
  <si>
    <t xml:space="preserve">2026-01-02</t>
  </si>
  <si>
    <t xml:space="preserve">2026-01-12</t>
  </si>
  <si>
    <t xml:space="preserve">REM-9000341</t>
  </si>
  <si>
    <t xml:space="preserve">Price variance 108.2 bps vs independent source (limit 25bps)</t>
  </si>
  <si>
    <t xml:space="preserve">2026-02-14</t>
  </si>
  <si>
    <t xml:space="preserve">REM-9000342</t>
  </si>
  <si>
    <t xml:space="preserve">Price variance 131.8 bps vs independent source (limit 25bps)</t>
  </si>
  <si>
    <t xml:space="preserve">REM-9000343</t>
  </si>
  <si>
    <t xml:space="preserve">Price variance 54.0 bps vs independent source (limit 25bps)</t>
  </si>
  <si>
    <t xml:space="preserve">2026-04-12</t>
  </si>
  <si>
    <t xml:space="preserve">REM-9000344</t>
  </si>
  <si>
    <t xml:space="preserve">Price variance 65.5 bps vs independent source (limit 25bps)</t>
  </si>
  <si>
    <t xml:space="preserve">2026-06-20</t>
  </si>
  <si>
    <t xml:space="preserve">REM-9000345</t>
  </si>
  <si>
    <t xml:space="preserve">Price variance 114.1 bps vs independent source (limit 25bps)</t>
  </si>
  <si>
    <t xml:space="preserve">2026-06-22</t>
  </si>
  <si>
    <t xml:space="preserve">REM-9000346</t>
  </si>
  <si>
    <t xml:space="preserve">Price variance 47.9 bps vs independent source (limit 25bps)</t>
  </si>
  <si>
    <t xml:space="preserve">REM-9000347</t>
  </si>
  <si>
    <t xml:space="preserve">Price variance 77.4 bps vs independent source (limit 25bps)</t>
  </si>
  <si>
    <t xml:space="preserve">2026-07-14</t>
  </si>
  <si>
    <t xml:space="preserve">REM-9000348</t>
  </si>
  <si>
    <t xml:space="preserve">Price variance 98.2 bps vs independent source (limit 25bps)</t>
  </si>
  <si>
    <t xml:space="preserve">REM-9000349</t>
  </si>
  <si>
    <t xml:space="preserve">Price variance 44.6 bps vs independent source (limit 25bps)</t>
  </si>
  <si>
    <t xml:space="preserve">REM-9000350</t>
  </si>
  <si>
    <t xml:space="preserve">BREAK_SLA_MISSED</t>
  </si>
  <si>
    <t xml:space="preserve">4 business days to resolve (limit 3)</t>
  </si>
  <si>
    <t xml:space="preserve">REM-9000351</t>
  </si>
  <si>
    <t xml:space="preserve">5 business days to resolve (limit 3)</t>
  </si>
  <si>
    <t xml:space="preserve">REM-9000352</t>
  </si>
  <si>
    <t xml:space="preserve">D. Weiss, Treasury Ops</t>
  </si>
  <si>
    <t xml:space="preserve">MISSING_DUAL_APPROVAL</t>
  </si>
  <si>
    <t xml:space="preserve">Movement of $485847 lacks second approver (threshold $250,000)</t>
  </si>
  <si>
    <t xml:space="preserve">REM-9000353</t>
  </si>
  <si>
    <t xml:space="preserve">CUSTODIAN_BREAK</t>
  </si>
  <si>
    <t xml:space="preserve">Movement does not match custodian statement</t>
  </si>
  <si>
    <t xml:space="preserve">2026-03-21</t>
  </si>
  <si>
    <t xml:space="preserve">REM-9000354</t>
  </si>
  <si>
    <t xml:space="preserve">2026-04-14</t>
  </si>
  <si>
    <t xml:space="preserve">REM-9000355</t>
  </si>
  <si>
    <t xml:space="preserve">2026-07-06</t>
  </si>
  <si>
    <t xml:space="preserve">REM-9000356</t>
  </si>
  <si>
    <t xml:space="preserve">REM-9000357</t>
  </si>
  <si>
    <t xml:space="preserve">2026-09-11</t>
  </si>
  <si>
    <t xml:space="preserve">REM-9000358</t>
  </si>
  <si>
    <t xml:space="preserve">REM-9000359</t>
  </si>
  <si>
    <t xml:space="preserve">A. Petrova, Suitability Oversight</t>
  </si>
  <si>
    <t xml:space="preserve">GUIDELINE_BREACH</t>
  </si>
  <si>
    <t xml:space="preserve">Bond weight 95.56% is above max for Conservative Income</t>
  </si>
  <si>
    <t xml:space="preserve">REM-9000360</t>
  </si>
  <si>
    <t xml:space="preserve">Equity weight 61.57% is below min for Aggressive Growth</t>
  </si>
  <si>
    <t xml:space="preserve">REM-9000361</t>
  </si>
  <si>
    <t xml:space="preserve">Bond weight 103.75% is above max for Fixed Income Core</t>
  </si>
  <si>
    <t xml:space="preserve">REM-9000362</t>
  </si>
  <si>
    <t xml:space="preserve">Bond weight 105.92% is above max for Fixed Income Core</t>
  </si>
  <si>
    <t xml:space="preserve">REM-9000363</t>
  </si>
  <si>
    <t xml:space="preserve">Cash weight 12.03% is above max for Aggressive Growth</t>
  </si>
  <si>
    <t xml:space="preserve">REM-9000364</t>
  </si>
  <si>
    <t xml:space="preserve">Bond weight 32.94% is above max for Aggressive Growth</t>
  </si>
  <si>
    <t xml:space="preserve">REM-9000365</t>
  </si>
  <si>
    <t xml:space="preserve">Bond weight 48.29% is below min for Conservative Income</t>
  </si>
  <si>
    <t xml:space="preserve">REM-9000366</t>
  </si>
  <si>
    <t xml:space="preserve">Bond weight 44.76% is below min for Conservative Income</t>
  </si>
  <si>
    <t xml:space="preserve">REM-9000367</t>
  </si>
  <si>
    <t xml:space="preserve">Bond weight 30.45% is above max for Aggressive Growth</t>
  </si>
  <si>
    <t xml:space="preserve">REM-9000368</t>
  </si>
  <si>
    <t xml:space="preserve">Bond weight 30.37% is above max for Aggressive Growth</t>
  </si>
  <si>
    <t xml:space="preserve">REM-9000369</t>
  </si>
  <si>
    <t xml:space="preserve">Equity weight 61.51% is below min for Aggressive Growth</t>
  </si>
  <si>
    <t xml:space="preserve">REM-9000370</t>
  </si>
  <si>
    <t xml:space="preserve">Bond weight 47.91% is below min for Conservative Income</t>
  </si>
  <si>
    <t xml:space="preserve">REM-9000371</t>
  </si>
  <si>
    <t xml:space="preserve">Equity weight 67.56% is above max for Balanced Growth</t>
  </si>
  <si>
    <t xml:space="preserve">REM-9000372</t>
  </si>
  <si>
    <t xml:space="preserve">Bond weight 97.57% is above max for Conservative Income</t>
  </si>
  <si>
    <t xml:space="preserve">REM-9000373</t>
  </si>
  <si>
    <t xml:space="preserve">Bond weight 19.51% is below min for Balanced Growth</t>
  </si>
  <si>
    <t xml:space="preserve">REM-9000374</t>
  </si>
  <si>
    <t xml:space="preserve">Equity weight 63.62% is below min for Aggressive Growth</t>
  </si>
  <si>
    <t xml:space="preserve">REM-9000375</t>
  </si>
  <si>
    <t xml:space="preserve">Bond weight 48.68% is below min for Conservative Income</t>
  </si>
  <si>
    <t xml:space="preserve">REM-9000376</t>
  </si>
  <si>
    <t xml:space="preserve">Bond weight 51.56% is above max for Balanced Growth</t>
  </si>
  <si>
    <t xml:space="preserve">REM-9000377</t>
  </si>
  <si>
    <t xml:space="preserve">Equity weight 63.1% is below min for Aggressive Growth</t>
  </si>
  <si>
    <t xml:space="preserve">REM-9000378</t>
  </si>
  <si>
    <t xml:space="preserve">Bond weight 77.75% is below min for Fixed Income Core</t>
  </si>
  <si>
    <t xml:space="preserve">REM-9000379</t>
  </si>
  <si>
    <t xml:space="preserve">Equity weight 37.75% is below min for Balanced Growth</t>
  </si>
  <si>
    <t xml:space="preserve">REM-9000380</t>
  </si>
  <si>
    <t xml:space="preserve">Bond weight 19.28% is below min for Balanced Growth</t>
  </si>
  <si>
    <t xml:space="preserve">REM-9000381</t>
  </si>
  <si>
    <t xml:space="preserve">Bond weight 107.36% is above max for Fixed Income Core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</si>
</sst>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sz val="10.5"/>
      <color rgb="FFB9C2D6"/>
      <name val="Calibri"/>
      <family val="0"/>
      <charset val="1"/>
    </font>
    <font>
      <sz val="9.5"/>
      <color rgb="FF5B6B85"/>
      <name val="Calibri"/>
      <family val="0"/>
      <charset val="1"/>
    </font>
    <font>
      <b val="true"/>
      <sz val="24"/>
      <color rgb="FF1F2A44"/>
      <name val="Calibri"/>
      <family val="0"/>
      <charset val="1"/>
    </font>
    <font>
      <b val="true"/>
      <sz val="24"/>
      <color rgb="FFC0392B"/>
      <name val="Calibri"/>
      <family val="0"/>
      <charset val="1"/>
    </font>
    <font>
      <b val="true"/>
      <sz val="10.5"/>
      <color rgb="FF1F2A4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2A4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41B2E"/>
        <bgColor rgb="FF1F2A44"/>
      </patternFill>
    </fill>
    <fill>
      <patternFill patternType="solid">
        <fgColor rgb="FFFFFFFF"/>
        <bgColor rgb="FFEDEFF5"/>
      </patternFill>
    </fill>
    <fill>
      <patternFill patternType="solid">
        <fgColor rgb="FF1F2A44"/>
        <bgColor rgb="FF141B2E"/>
      </patternFill>
    </fill>
    <fill>
      <patternFill patternType="solid">
        <fgColor rgb="FFEDEF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DEF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9E7CE"/>
          <bgColor rgb="FF000000"/>
        </patternFill>
      </fill>
    </dxf>
    <dxf>
      <fill>
        <patternFill patternType="solid">
          <fgColor rgb="FFF8CBCB"/>
          <bgColor rgb="FF000000"/>
        </patternFill>
      </fill>
    </dxf>
    <dxf>
      <fill>
        <patternFill patternType="solid">
          <fgColor rgb="FFFCE7B2"/>
          <bgColor rgb="FF000000"/>
        </patternFill>
      </fill>
    </dxf>
    <dxf>
      <fill>
        <patternFill>
          <bgColor rgb="FFF8CBCB"/>
        </patternFill>
      </fill>
    </dxf>
    <dxf>
      <fill>
        <patternFill>
          <bgColor rgb="FFFCE7B2"/>
        </patternFill>
      </fill>
    </dxf>
    <dxf>
      <fill>
        <patternFill>
          <bgColor rgb="FFC9E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9945"/>
      <rgbColor rgb="FF800080"/>
      <rgbColor rgb="FF3E7C8C"/>
      <rgbColor rgb="FFB9C2D6"/>
      <rgbColor rgb="FF878787"/>
      <rgbColor rgb="FF7D5FA0"/>
      <rgbColor rgb="FF9D3E3B"/>
      <rgbColor rgb="FFEDEFF5"/>
      <rgbColor rgb="FFD9D9D9"/>
      <rgbColor rgb="FF660066"/>
      <rgbColor rgb="FFFF8080"/>
      <rgbColor rgb="FF3D679A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E7CE"/>
      <rgbColor rgb="FFFCE7B2"/>
      <rgbColor rgb="FFA5B5D3"/>
      <rgbColor rgb="FFD4A5A4"/>
      <rgbColor rgb="FFCC99FF"/>
      <rgbColor rgb="FFF8CBCB"/>
      <rgbColor rgb="FF4A7EBB"/>
      <rgbColor rgb="FF46AAC4"/>
      <rgbColor rgb="FF98B855"/>
      <rgbColor rgb="FFFFCC00"/>
      <rgbColor rgb="FFF59240"/>
      <rgbColor rgb="FFCB7934"/>
      <rgbColor rgb="FF5B6B85"/>
      <rgbColor rgb="FF9AA5B8"/>
      <rgbColor rgb="FF003366"/>
      <rgbColor rgb="FF398BA2"/>
      <rgbColor rgb="FF141B2E"/>
      <rgbColor rgb="FF674F84"/>
      <rgbColor rgb="FFC0392B"/>
      <rgbColor rgb="FFBE4B48"/>
      <rgbColor rgb="FF2F5C8A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Pass Rate Trend by Control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3d679a"/>
            </a:solidFill>
            <a:ln w="28440">
              <a:solidFill>
                <a:srgbClr val="3d679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'KRI Trend'!$B$4:$N$4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'KRI Trend'!$B$4:$N$4</c:f>
              <c:numCache>
                <c:formatCode>General</c:formatCode>
                <c:ptCount val="13"/>
              </c:numCache>
            </c:numRef>
          </c:val>
          <c:smooth val="1"/>
        </c:ser>
        <c:ser>
          <c:idx val="1"/>
          <c:order val="1"/>
          <c:spPr>
            <a:solidFill>
              <a:srgbClr val="9d3e3b"/>
            </a:solidFill>
            <a:ln w="2844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'KRI Trend'!$B$4:$N$4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'KRI Trend'!$B$5:$N$5</c:f>
              <c:numCache>
                <c:formatCode>0.0%</c:formatCode>
                <c:ptCount val="13"/>
                <c:pt idx="0">
                  <c:v>0.9874</c:v>
                </c:pt>
                <c:pt idx="1">
                  <c:v>0.9884</c:v>
                </c:pt>
                <c:pt idx="2">
                  <c:v>0.9896</c:v>
                </c:pt>
                <c:pt idx="3">
                  <c:v>0.9905</c:v>
                </c:pt>
                <c:pt idx="4">
                  <c:v>0.9914</c:v>
                </c:pt>
                <c:pt idx="5">
                  <c:v>0.99</c:v>
                </c:pt>
                <c:pt idx="6">
                  <c:v>0.9896</c:v>
                </c:pt>
                <c:pt idx="7">
                  <c:v>0.9896</c:v>
                </c:pt>
                <c:pt idx="8">
                  <c:v>0.9525</c:v>
                </c:pt>
                <c:pt idx="9">
                  <c:v>0.921</c:v>
                </c:pt>
                <c:pt idx="10">
                  <c:v>0.9003</c:v>
                </c:pt>
                <c:pt idx="11">
                  <c:v>0.8545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7e9945"/>
            </a:solidFill>
            <a:ln w="2844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'KRI Trend'!$B$4:$N$4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'KRI Trend'!$B$6:$N$6</c:f>
              <c:numCache>
                <c:formatCode>0.0%</c:formatCode>
                <c:ptCount val="13"/>
                <c:pt idx="0">
                  <c:v>0.9815</c:v>
                </c:pt>
                <c:pt idx="1">
                  <c:v>0.9751</c:v>
                </c:pt>
                <c:pt idx="2">
                  <c:v>0.9867</c:v>
                </c:pt>
                <c:pt idx="3">
                  <c:v>0.9849</c:v>
                </c:pt>
                <c:pt idx="4">
                  <c:v>0.9905</c:v>
                </c:pt>
                <c:pt idx="5">
                  <c:v>0.9909</c:v>
                </c:pt>
                <c:pt idx="6">
                  <c:v>0.987</c:v>
                </c:pt>
                <c:pt idx="7">
                  <c:v>0.9852</c:v>
                </c:pt>
                <c:pt idx="8">
                  <c:v>0.9835</c:v>
                </c:pt>
                <c:pt idx="9">
                  <c:v>0.9829</c:v>
                </c:pt>
                <c:pt idx="10">
                  <c:v>0.9872</c:v>
                </c:pt>
                <c:pt idx="11">
                  <c:v>0.9812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74f84"/>
            </a:solidFill>
            <a:ln w="28440">
              <a:solidFill>
                <a:srgbClr val="674f8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'KRI Trend'!$B$4:$N$4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'KRI Trend'!$B$7:$N$7</c:f>
              <c:numCache>
                <c:formatCode>0.0%</c:formatCode>
                <c:ptCount val="13"/>
                <c:pt idx="0">
                  <c:v>0.9386</c:v>
                </c:pt>
                <c:pt idx="1">
                  <c:v>0.9449</c:v>
                </c:pt>
                <c:pt idx="2">
                  <c:v>0.9471</c:v>
                </c:pt>
                <c:pt idx="3">
                  <c:v>0.9485</c:v>
                </c:pt>
                <c:pt idx="4">
                  <c:v>0.9333</c:v>
                </c:pt>
                <c:pt idx="5">
                  <c:v>0.9534</c:v>
                </c:pt>
                <c:pt idx="6">
                  <c:v>0.9429</c:v>
                </c:pt>
                <c:pt idx="7">
                  <c:v>0.949</c:v>
                </c:pt>
                <c:pt idx="8">
                  <c:v>0.9425</c:v>
                </c:pt>
                <c:pt idx="9">
                  <c:v>0.9439</c:v>
                </c:pt>
                <c:pt idx="10">
                  <c:v>0.9378</c:v>
                </c:pt>
                <c:pt idx="11">
                  <c:v>0.9545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98ba2"/>
            </a:solidFill>
            <a:ln w="28440">
              <a:solidFill>
                <a:srgbClr val="398ba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'KRI Trend'!$B$4:$N$4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'KRI Trend'!$B$8:$N$8</c:f>
              <c:numCache>
                <c:formatCode>0.0%</c:formatCode>
                <c:ptCount val="13"/>
                <c:pt idx="0">
                  <c:v>0.9865</c:v>
                </c:pt>
                <c:pt idx="1">
                  <c:v>0.9731</c:v>
                </c:pt>
                <c:pt idx="2">
                  <c:v>0.9866</c:v>
                </c:pt>
                <c:pt idx="3">
                  <c:v>0.9797</c:v>
                </c:pt>
                <c:pt idx="4">
                  <c:v>0.9831</c:v>
                </c:pt>
                <c:pt idx="5">
                  <c:v>0.7625</c:v>
                </c:pt>
                <c:pt idx="6">
                  <c:v>0.9799</c:v>
                </c:pt>
                <c:pt idx="7">
                  <c:v>0.9899</c:v>
                </c:pt>
                <c:pt idx="8">
                  <c:v>0.9865</c:v>
                </c:pt>
                <c:pt idx="9">
                  <c:v>0.9832</c:v>
                </c:pt>
                <c:pt idx="10">
                  <c:v>0.9633</c:v>
                </c:pt>
                <c:pt idx="11">
                  <c:v>0.9833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cb7934"/>
            </a:solidFill>
            <a:ln w="28440">
              <a:solidFill>
                <a:srgbClr val="cb79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'KRI Trend'!$B$4:$N$4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'KRI Trend'!$B$9:$N$9</c:f>
              <c:numCache>
                <c:formatCode>0.0%</c:formatCode>
                <c:ptCount val="13"/>
                <c:pt idx="0">
                  <c:v>0.9367</c:v>
                </c:pt>
                <c:pt idx="1">
                  <c:v>0.9667</c:v>
                </c:pt>
                <c:pt idx="2">
                  <c:v>0.97</c:v>
                </c:pt>
                <c:pt idx="3">
                  <c:v>0.9767</c:v>
                </c:pt>
                <c:pt idx="4">
                  <c:v>0.9733</c:v>
                </c:pt>
                <c:pt idx="5">
                  <c:v>0.9633</c:v>
                </c:pt>
                <c:pt idx="6">
                  <c:v>0.98</c:v>
                </c:pt>
                <c:pt idx="7">
                  <c:v>0.9467</c:v>
                </c:pt>
                <c:pt idx="8">
                  <c:v>0.9533</c:v>
                </c:pt>
                <c:pt idx="9">
                  <c:v>0.96</c:v>
                </c:pt>
                <c:pt idx="10">
                  <c:v>0.9533</c:v>
                </c:pt>
                <c:pt idx="11">
                  <c:v>0.96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'KRI Trend'!$B$4:$N$4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'KRI Trend'!$B$10:$N$10</c:f>
              <c:numCache>
                <c:formatCode>0.0%</c:formatCode>
                <c:ptCount val="13"/>
                <c:pt idx="0">
                  <c:v>1</c:v>
                </c:pt>
                <c:pt idx="1">
                  <c:v>0.9632</c:v>
                </c:pt>
                <c:pt idx="2">
                  <c:v>0.9463</c:v>
                </c:pt>
                <c:pt idx="3">
                  <c:v>0.986</c:v>
                </c:pt>
                <c:pt idx="4">
                  <c:v>0.9623</c:v>
                </c:pt>
                <c:pt idx="5">
                  <c:v>0.95</c:v>
                </c:pt>
                <c:pt idx="6">
                  <c:v>0.9536</c:v>
                </c:pt>
                <c:pt idx="7">
                  <c:v>0.9467</c:v>
                </c:pt>
                <c:pt idx="8">
                  <c:v>0.9161</c:v>
                </c:pt>
                <c:pt idx="9">
                  <c:v>0.9533</c:v>
                </c:pt>
                <c:pt idx="10">
                  <c:v>0.8514</c:v>
                </c:pt>
                <c:pt idx="11">
                  <c:v>0.8039</c:v>
                </c:pt>
                <c:pt idx="12">
                  <c:v>0.661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'KRI Trend'!$B$4:$N$4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'KRI Trend'!$B$11:$N$11</c:f>
              <c:numCache>
                <c:formatCode>0.0%</c:formatCode>
                <c:ptCount val="13"/>
                <c:pt idx="0">
                  <c:v>1</c:v>
                </c:pt>
                <c:pt idx="1">
                  <c:v>0.9387</c:v>
                </c:pt>
                <c:pt idx="2">
                  <c:v>0.9664</c:v>
                </c:pt>
                <c:pt idx="3">
                  <c:v>0.951</c:v>
                </c:pt>
                <c:pt idx="4">
                  <c:v>0.9623</c:v>
                </c:pt>
                <c:pt idx="5">
                  <c:v>0.9714</c:v>
                </c:pt>
                <c:pt idx="6">
                  <c:v>0.947</c:v>
                </c:pt>
                <c:pt idx="7">
                  <c:v>0.98</c:v>
                </c:pt>
                <c:pt idx="8">
                  <c:v>0.9548</c:v>
                </c:pt>
                <c:pt idx="9">
                  <c:v>0.9533</c:v>
                </c:pt>
                <c:pt idx="10">
                  <c:v>0.9527</c:v>
                </c:pt>
                <c:pt idx="11">
                  <c:v>0.9542</c:v>
                </c:pt>
                <c:pt idx="12">
                  <c:v>0.9576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'KRI Trend'!$B$4:$N$4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'KRI Trend'!$B$12:$N$12</c:f>
              <c:numCache>
                <c:formatCode>0.0%</c:formatCode>
                <c:ptCount val="13"/>
                <c:pt idx="0">
                  <c:v>0.9773</c:v>
                </c:pt>
                <c:pt idx="1">
                  <c:v>0.9891</c:v>
                </c:pt>
                <c:pt idx="2">
                  <c:v>0.985</c:v>
                </c:pt>
                <c:pt idx="3">
                  <c:v>0.9826</c:v>
                </c:pt>
                <c:pt idx="4">
                  <c:v>0.9795</c:v>
                </c:pt>
                <c:pt idx="5">
                  <c:v>0.985</c:v>
                </c:pt>
                <c:pt idx="6">
                  <c:v>0.975</c:v>
                </c:pt>
                <c:pt idx="7">
                  <c:v>0.9864</c:v>
                </c:pt>
                <c:pt idx="8">
                  <c:v>0.9762</c:v>
                </c:pt>
                <c:pt idx="9">
                  <c:v>0.9727</c:v>
                </c:pt>
                <c:pt idx="10">
                  <c:v>0.9783</c:v>
                </c:pt>
                <c:pt idx="11">
                  <c:v>0.9762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'KRI Trend'!$B$4:$N$4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'KRI Trend'!$B$13:$N$13</c:f>
              <c:numCache>
                <c:formatCode>0.0%</c:formatCode>
                <c:ptCount val="13"/>
                <c:pt idx="0">
                  <c:v>0.8</c:v>
                </c:pt>
                <c:pt idx="1">
                  <c:v>1</c:v>
                </c:pt>
                <c:pt idx="2">
                  <c:v>0.8333</c:v>
                </c:pt>
                <c:pt idx="3">
                  <c:v>1</c:v>
                </c:pt>
                <c:pt idx="4">
                  <c:v>1</c:v>
                </c:pt>
                <c:pt idx="5">
                  <c:v>0.6667</c:v>
                </c:pt>
                <c:pt idx="6">
                  <c:v>1</c:v>
                </c:pt>
                <c:pt idx="7">
                  <c:v>1</c:v>
                </c:pt>
                <c:pt idx="8">
                  <c:v>0.8</c:v>
                </c:pt>
                <c:pt idx="9">
                  <c:v>1</c:v>
                </c:pt>
                <c:pt idx="10">
                  <c:v>0.9</c:v>
                </c:pt>
                <c:pt idx="11">
                  <c:v>0.6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'KRI Trend'!$B$4:$N$4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'KRI Trend'!$B$14:$N$14</c:f>
              <c:numCache>
                <c:formatCode>0.0%</c:formatCode>
                <c:ptCount val="13"/>
                <c:pt idx="0">
                  <c:v>0.9459</c:v>
                </c:pt>
                <c:pt idx="1">
                  <c:v>0.9459</c:v>
                </c:pt>
                <c:pt idx="2">
                  <c:v>0.9701</c:v>
                </c:pt>
                <c:pt idx="3">
                  <c:v>0.961</c:v>
                </c:pt>
                <c:pt idx="4">
                  <c:v>0.9429</c:v>
                </c:pt>
                <c:pt idx="5">
                  <c:v>0.9531</c:v>
                </c:pt>
                <c:pt idx="6">
                  <c:v>0.9697</c:v>
                </c:pt>
                <c:pt idx="7">
                  <c:v>0.9268</c:v>
                </c:pt>
                <c:pt idx="8">
                  <c:v>0.9467</c:v>
                </c:pt>
                <c:pt idx="9">
                  <c:v>0.9506</c:v>
                </c:pt>
                <c:pt idx="10">
                  <c:v>0.9634</c:v>
                </c:pt>
                <c:pt idx="11">
                  <c:v>0.8889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'KRI Trend'!$B$4:$N$4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'KRI Trend'!$B$15:$N$15</c:f>
              <c:numCache>
                <c:formatCode>0.0%</c:formatCode>
                <c:ptCount val="13"/>
                <c:pt idx="0">
                  <c:v>0.9822</c:v>
                </c:pt>
                <c:pt idx="1">
                  <c:v>0.9777</c:v>
                </c:pt>
                <c:pt idx="2">
                  <c:v>0.9706</c:v>
                </c:pt>
                <c:pt idx="3">
                  <c:v>0.9884</c:v>
                </c:pt>
                <c:pt idx="4">
                  <c:v>0.9873</c:v>
                </c:pt>
                <c:pt idx="5">
                  <c:v>0.9862</c:v>
                </c:pt>
                <c:pt idx="6">
                  <c:v>0.9859</c:v>
                </c:pt>
                <c:pt idx="7">
                  <c:v>0.9815</c:v>
                </c:pt>
                <c:pt idx="8">
                  <c:v>0.9794</c:v>
                </c:pt>
                <c:pt idx="9">
                  <c:v>0.9846</c:v>
                </c:pt>
                <c:pt idx="10">
                  <c:v>0.991</c:v>
                </c:pt>
                <c:pt idx="11">
                  <c:v>0.9829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a5b5d3"/>
            </a:solidFill>
            <a:ln w="28440">
              <a:solidFill>
                <a:srgbClr val="a5b5d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'KRI Trend'!$B$4:$N$4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'KRI Trend'!$B$16:$N$16</c:f>
              <c:numCache>
                <c:formatCode>0.0%</c:formatCode>
                <c:ptCount val="13"/>
                <c:pt idx="11">
                  <c:v>0.9422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d4a5a4"/>
            </a:solidFill>
            <a:ln w="2844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'KRI Trend'!$B$4:$N$4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'KRI Trend'!$B$17:$N$17</c:f>
              <c:numCache>
                <c:formatCode>0.0%</c:formatCode>
                <c:ptCount val="13"/>
                <c:pt idx="0">
                  <c:v>1</c:v>
                </c:pt>
                <c:pt idx="1">
                  <c:v>0.8889</c:v>
                </c:pt>
                <c:pt idx="2">
                  <c:v>1</c:v>
                </c:pt>
                <c:pt idx="3">
                  <c:v>0.9524</c:v>
                </c:pt>
                <c:pt idx="4">
                  <c:v>0.9231</c:v>
                </c:pt>
                <c:pt idx="5">
                  <c:v>0.8182</c:v>
                </c:pt>
                <c:pt idx="6">
                  <c:v>0.8333</c:v>
                </c:pt>
                <c:pt idx="7">
                  <c:v>0.9286</c:v>
                </c:pt>
                <c:pt idx="8">
                  <c:v>1</c:v>
                </c:pt>
                <c:pt idx="9">
                  <c:v>0.9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322879"/>
        <c:axId val="71879604"/>
      </c:lineChart>
      <c:catAx>
        <c:axId val="453228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79604"/>
        <c:crosses val="autoZero"/>
        <c:auto val="1"/>
        <c:lblAlgn val="ctr"/>
        <c:lblOffset val="100"/>
        <c:noMultiLvlLbl val="0"/>
      </c:catAx>
      <c:valAx>
        <c:axId val="718796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Pass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228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14</xdr:col>
      <xdr:colOff>211680</xdr:colOff>
      <xdr:row>38</xdr:row>
      <xdr:rowOff>149760</xdr:rowOff>
    </xdr:to>
    <xdr:graphicFrame>
      <xdr:nvGraphicFramePr>
        <xdr:cNvPr id="0" name="Chart 1"/>
        <xdr:cNvGraphicFramePr/>
      </xdr:nvGraphicFramePr>
      <xdr:xfrm>
        <a:off x="0" y="3733920"/>
        <a:ext cx="100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ontrolResults" displayName="TblControlResults" ref="A1:K148" headerRowCount="1" totalsRowCount="0" totalsRowShown="0">
  <autoFilter ref="A1:K148"/>
  <tableColumns count="11">
    <tableColumn id="1" name="control_id"/>
    <tableColumn id="2" name="control_name"/>
    <tableColumn id="3" name="process_name"/>
    <tableColumn id="4" name="period"/>
    <tableColumn id="5" name="population"/>
    <tableColumn id="6" name="pass_count"/>
    <tableColumn id="7" name="fail_count"/>
    <tableColumn id="8" name="dq_exception_count"/>
    <tableColumn id="9" name="pass_rate"/>
    <tableColumn id="10" name="kri_threshold"/>
    <tableColumn id="11" name="rag_status"/>
  </tableColumns>
</table>
</file>

<file path=xl/tables/table2.xml><?xml version="1.0" encoding="utf-8"?>
<table xmlns="http://schemas.openxmlformats.org/spreadsheetml/2006/main" id="2" name="TblRemediation" displayName="TblRemediation" ref="A1:K383" headerRowCount="1" totalsRowCount="0" totalsRowShown="0">
  <autoFilter ref="A1:K383"/>
  <tableColumns count="11">
    <tableColumn id="1" name="action_id"/>
    <tableColumn id="2" name="exception_id"/>
    <tableColumn id="3" name="control_id"/>
    <tableColumn id="4" name="owner"/>
    <tableColumn id="5" name="reason_code"/>
    <tableColumn id="6" name="detail"/>
    <tableColumn id="7" name="identified_date"/>
    <tableColumn id="8" name="target_closure_date"/>
    <tableColumn id="9" name="days_to_target"/>
    <tableColumn id="10" name="status_vs_sla"/>
    <tableColumn id="11" name="remediation_priority"/>
  </tableColumns>
</table>
</file>

<file path=xl/tables/table3.xml><?xml version="1.0" encoding="utf-8"?>
<table xmlns="http://schemas.openxmlformats.org/spreadsheetml/2006/main" id="3" name="TblRiskScores" displayName="TblRiskScores" ref="A1:N14" headerRowCount="1" totalsRowCount="0" totalsRowShown="0">
  <autoFilter ref="A1:N14"/>
  <tableColumns count="14">
    <tableColumn id="1" name="control_id"/>
    <tableColumn id="2" name="control_name"/>
    <tableColumn id="3" name="process_name"/>
    <tableColumn id="4" name="risk_category"/>
    <tableColumn id="5" name="period"/>
    <tableColumn id="6" name="latest_pass_rate"/>
    <tableColumn id="7" name="kri_threshold"/>
    <tableColumn id="8" name="inherent_risk_1to5"/>
    <tableColumn id="9" name="control_effectiveness_score"/>
    <tableColumn id="10" name="control_effectiveness_rating"/>
    <tableColumn id="11" name="residual_risk_score"/>
    <tableColumn id="12" name="residual_risk_rating"/>
    <tableColumn id="13" name="open_exceptions"/>
    <tableColumn id="14" name="rag_status_lates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8" min="5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15" hidden="false" customHeight="false" outlineLevel="0" collapsed="false">
      <c r="A5" s="4" t="n">
        <f aca="false">COUNTA('Control Scorecard'!A5:A17)</f>
        <v>13</v>
      </c>
      <c r="B5" s="4"/>
      <c r="C5" s="5" t="n">
        <f aca="false">COUNTIF('Control Scorecard'!H5:H17,"Red")</f>
        <v>4</v>
      </c>
      <c r="D5" s="5"/>
      <c r="E5" s="4" t="n">
        <f aca="false">COUNTIF('Control Scorecard'!H5:H17,"Amber")</f>
        <v>2</v>
      </c>
      <c r="F5" s="4"/>
      <c r="G5" s="4" t="n">
        <f aca="false">COUNTIF('Control Scorecard'!H5:H17,"Green")</f>
        <v>7</v>
      </c>
      <c r="H5" s="4"/>
    </row>
    <row r="6" customFormat="false" ht="15" hidden="false" customHeight="false" outlineLevel="0" collapsed="false">
      <c r="A6" s="4"/>
      <c r="B6" s="4"/>
      <c r="C6" s="5"/>
      <c r="D6" s="5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5"/>
      <c r="D7" s="5"/>
      <c r="E7" s="4"/>
      <c r="F7" s="4"/>
      <c r="G7" s="4"/>
      <c r="H7" s="4"/>
    </row>
    <row r="9" customFormat="false" ht="15" hidden="false" customHeight="true" outlineLevel="0" collapsed="false">
      <c r="A9" s="3" t="s">
        <v>6</v>
      </c>
      <c r="B9" s="3"/>
      <c r="C9" s="3" t="s">
        <v>7</v>
      </c>
      <c r="D9" s="3"/>
      <c r="E9" s="3" t="s">
        <v>8</v>
      </c>
      <c r="F9" s="3"/>
      <c r="G9" s="3" t="s">
        <v>9</v>
      </c>
      <c r="H9" s="3"/>
    </row>
    <row r="10" customFormat="false" ht="15" hidden="false" customHeight="false" outlineLevel="0" collapsed="false">
      <c r="A10" s="5" t="n">
        <f aca="false">COUNTIF('Control Scorecard'!J5:J17,"High")+COUNTIF('Control Scorecard'!J5:J17,"Critical")</f>
        <v>2</v>
      </c>
      <c r="B10" s="5"/>
      <c r="C10" s="4" t="n">
        <f aca="false">COUNTA(Data_RemediationActions!A2:A383)</f>
        <v>382</v>
      </c>
      <c r="D10" s="4"/>
      <c r="E10" s="5" t="n">
        <f aca="false">COUNTIF(Data_RemediationActions!J2:J383,"Overdue")</f>
        <v>201</v>
      </c>
      <c r="F10" s="5"/>
      <c r="G10" s="6" t="n">
        <f aca="false">AVERAGE('Control Scorecard'!F5:F17)</f>
        <v>0.903253846153846</v>
      </c>
      <c r="H10" s="6"/>
    </row>
    <row r="11" customFormat="false" ht="15" hidden="false" customHeight="false" outlineLevel="0" collapsed="false">
      <c r="A11" s="5"/>
      <c r="B11" s="5"/>
      <c r="C11" s="4"/>
      <c r="D11" s="4"/>
      <c r="E11" s="5"/>
      <c r="F11" s="5"/>
      <c r="G11" s="6"/>
      <c r="H11" s="6"/>
    </row>
    <row r="12" customFormat="false" ht="15" hidden="false" customHeight="false" outlineLevel="0" collapsed="false">
      <c r="A12" s="5"/>
      <c r="B12" s="5"/>
      <c r="C12" s="4"/>
      <c r="D12" s="4"/>
      <c r="E12" s="5"/>
      <c r="F12" s="5"/>
      <c r="G12" s="6"/>
      <c r="H12" s="6"/>
    </row>
    <row r="15" customFormat="false" ht="15" hidden="false" customHeight="false" outlineLevel="0" collapsed="false">
      <c r="A15" s="7" t="s">
        <v>10</v>
      </c>
    </row>
    <row r="16" customFormat="false" ht="27.75" hidden="false" customHeight="true" outlineLevel="0" collapsed="false">
      <c r="A16" s="8" t="s">
        <v>11</v>
      </c>
      <c r="B16" s="8" t="s">
        <v>12</v>
      </c>
      <c r="C16" s="8" t="s">
        <v>13</v>
      </c>
      <c r="D16" s="8" t="s">
        <v>14</v>
      </c>
    </row>
    <row r="17" customFormat="false" ht="49.5" hidden="false" customHeight="true" outlineLevel="0" collapsed="false">
      <c r="A17" s="9" t="s">
        <v>15</v>
      </c>
      <c r="B17" s="10" t="s">
        <v>16</v>
      </c>
      <c r="C17" s="9" t="n">
        <v>43</v>
      </c>
      <c r="D17" s="10" t="s">
        <v>17</v>
      </c>
    </row>
    <row r="18" customFormat="false" ht="49.5" hidden="false" customHeight="true" outlineLevel="0" collapsed="false">
      <c r="A18" s="11" t="s">
        <v>15</v>
      </c>
      <c r="B18" s="12" t="s">
        <v>18</v>
      </c>
      <c r="C18" s="11" t="n">
        <v>1194</v>
      </c>
      <c r="D18" s="12" t="s">
        <v>19</v>
      </c>
    </row>
    <row r="19" customFormat="false" ht="49.5" hidden="false" customHeight="true" outlineLevel="0" collapsed="false">
      <c r="A19" s="9" t="s">
        <v>15</v>
      </c>
      <c r="B19" s="10" t="s">
        <v>20</v>
      </c>
      <c r="C19" s="9" t="n">
        <v>140</v>
      </c>
      <c r="D19" s="10" t="s">
        <v>21</v>
      </c>
    </row>
    <row r="20" customFormat="false" ht="49.5" hidden="false" customHeight="true" outlineLevel="0" collapsed="false">
      <c r="A20" s="11" t="s">
        <v>15</v>
      </c>
      <c r="B20" s="12" t="s">
        <v>22</v>
      </c>
      <c r="C20" s="11" t="n">
        <v>142</v>
      </c>
      <c r="D20" s="12" t="s">
        <v>21</v>
      </c>
    </row>
    <row r="21" customFormat="false" ht="49.5" hidden="false" customHeight="true" outlineLevel="0" collapsed="false">
      <c r="A21" s="9" t="s">
        <v>15</v>
      </c>
      <c r="B21" s="10" t="s">
        <v>23</v>
      </c>
      <c r="C21" s="9" t="n">
        <v>29</v>
      </c>
      <c r="D21" s="10" t="s">
        <v>24</v>
      </c>
    </row>
    <row r="22" customFormat="false" ht="49.5" hidden="false" customHeight="true" outlineLevel="0" collapsed="false">
      <c r="A22" s="11" t="s">
        <v>15</v>
      </c>
      <c r="B22" s="12" t="s">
        <v>25</v>
      </c>
      <c r="C22" s="11" t="n">
        <v>14</v>
      </c>
      <c r="D22" s="12" t="s">
        <v>24</v>
      </c>
    </row>
    <row r="23" customFormat="false" ht="49.5" hidden="false" customHeight="true" outlineLevel="0" collapsed="false">
      <c r="A23" s="9" t="s">
        <v>26</v>
      </c>
      <c r="B23" s="10" t="s">
        <v>27</v>
      </c>
      <c r="C23" s="9" t="n">
        <v>29</v>
      </c>
      <c r="D23" s="10" t="s">
        <v>21</v>
      </c>
    </row>
  </sheetData>
  <mergeCells count="18">
    <mergeCell ref="A1:H1"/>
    <mergeCell ref="A2:H2"/>
    <mergeCell ref="A4:B4"/>
    <mergeCell ref="C4:D4"/>
    <mergeCell ref="E4:F4"/>
    <mergeCell ref="G4:H4"/>
    <mergeCell ref="A5:B7"/>
    <mergeCell ref="C5:D7"/>
    <mergeCell ref="E5:F7"/>
    <mergeCell ref="G5:H7"/>
    <mergeCell ref="A9:B9"/>
    <mergeCell ref="C9:D9"/>
    <mergeCell ref="E9:F9"/>
    <mergeCell ref="G9:H9"/>
    <mergeCell ref="A10:B12"/>
    <mergeCell ref="C10:D12"/>
    <mergeCell ref="E10:F12"/>
    <mergeCell ref="G10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C8A"/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5.5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7.75" hidden="false" customHeight="true" outlineLevel="0" collapsed="false">
      <c r="A4" s="8" t="s">
        <v>30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</row>
    <row r="5" customFormat="false" ht="15" hidden="false" customHeight="false" outlineLevel="0" collapsed="false">
      <c r="A5" s="13" t="s">
        <v>41</v>
      </c>
      <c r="B5" s="9" t="str">
        <f aca="false">IFERROR(INDEX(Data_RiskScores!$B$2:$B$14,MATCH($A5,Data_RiskScores!$A$2:$A$14,0)),"")</f>
        <v>Allocation Timeliness</v>
      </c>
      <c r="C5" s="9" t="str">
        <f aca="false">IFERROR(INDEX(Data_RiskScores!$C$2:$C$14,MATCH($A5,Data_RiskScores!$A$2:$A$14,0)),"")</f>
        <v>Trade Allocation &amp; Execution</v>
      </c>
      <c r="D5" s="9" t="str">
        <f aca="false">IFERROR(INDEX(Data_RiskScores!$E$2:$E$14,MATCH($A5,Data_RiskScores!$A$2:$A$14,0)),"")</f>
        <v>2026-08</v>
      </c>
      <c r="E5" s="9" t="n">
        <f aca="false">IFERROR(SUMIFS(Data_ControlResults!$E$2:$E$148,Data_ControlResults!$A$2:$A$148,$A5,Data_ControlResults!$D$2:$D$148,$D5),"")</f>
        <v>1120</v>
      </c>
      <c r="F5" s="14" t="n">
        <f aca="false">IFERROR(INDEX(Data_RiskScores!$F$2:$F$14,MATCH($A5,Data_RiskScores!$A$2:$A$14,0)),"")</f>
        <v>0.8545</v>
      </c>
      <c r="G5" s="14" t="n">
        <f aca="false">IFERROR(INDEX(Data_RiskScores!$G$2:$G$14,MATCH($A5,Data_RiskScores!$A$2:$A$14,0)),"")</f>
        <v>0.97</v>
      </c>
      <c r="H5" s="9" t="str">
        <f aca="false">IFERROR(INDEX(Data_RiskScores!$N$2:$N$14,MATCH($A5,Data_RiskScores!$A$2:$A$14,0)),"")</f>
        <v>Red</v>
      </c>
      <c r="I5" s="9" t="n">
        <f aca="false">IFERROR(INDEX(Data_RiskScores!$I$2:$I$14,MATCH($A5,Data_RiskScores!$A$2:$A$14,0)),"")</f>
        <v>55.3</v>
      </c>
      <c r="J5" s="9" t="str">
        <f aca="false">IFERROR(INDEX(Data_RiskScores!$L$2:$L$14,MATCH($A5,Data_RiskScores!$A$2:$A$14,0)),"")</f>
        <v>Medium</v>
      </c>
      <c r="K5" s="9" t="n">
        <f aca="false">IFERROR(INDEX(Data_RiskScores!$M$2:$M$14,MATCH($A5,Data_RiskScores!$A$2:$A$14,0)),"")</f>
        <v>111</v>
      </c>
    </row>
    <row r="6" customFormat="false" ht="15" hidden="false" customHeight="false" outlineLevel="0" collapsed="false">
      <c r="A6" s="15" t="s">
        <v>42</v>
      </c>
      <c r="B6" s="11" t="str">
        <f aca="false">IFERROR(INDEX(Data_RiskScores!$B$2:$B$14,MATCH($A6,Data_RiskScores!$A$2:$A$14,0)),"")</f>
        <v>Execution Price Reasonableness</v>
      </c>
      <c r="C6" s="11" t="str">
        <f aca="false">IFERROR(INDEX(Data_RiskScores!$C$2:$C$14,MATCH($A6,Data_RiskScores!$A$2:$A$14,0)),"")</f>
        <v>Trade Allocation &amp; Execution</v>
      </c>
      <c r="D6" s="11" t="str">
        <f aca="false">IFERROR(INDEX(Data_RiskScores!$E$2:$E$14,MATCH($A6,Data_RiskScores!$A$2:$A$14,0)),"")</f>
        <v>2026-08</v>
      </c>
      <c r="E6" s="11" t="n">
        <f aca="false">IFERROR(SUMIFS(Data_ControlResults!$E$2:$E$148,Data_ControlResults!$A$2:$A$148,$A6,Data_ControlResults!$D$2:$D$148,$D6),"")</f>
        <v>1117</v>
      </c>
      <c r="F6" s="16" t="n">
        <f aca="false">IFERROR(INDEX(Data_RiskScores!$F$2:$F$14,MATCH($A6,Data_RiskScores!$A$2:$A$14,0)),"")</f>
        <v>0.9812</v>
      </c>
      <c r="G6" s="16" t="n">
        <f aca="false">IFERROR(INDEX(Data_RiskScores!$G$2:$G$14,MATCH($A6,Data_RiskScores!$A$2:$A$14,0)),"")</f>
        <v>0.98</v>
      </c>
      <c r="H6" s="11" t="str">
        <f aca="false">IFERROR(INDEX(Data_RiskScores!$N$2:$N$14,MATCH($A6,Data_RiskScores!$A$2:$A$14,0)),"")</f>
        <v>Green</v>
      </c>
      <c r="I6" s="11" t="n">
        <f aca="false">IFERROR(INDEX(Data_RiskScores!$I$2:$I$14,MATCH($A6,Data_RiskScores!$A$2:$A$14,0)),"")</f>
        <v>89</v>
      </c>
      <c r="J6" s="11" t="str">
        <f aca="false">IFERROR(INDEX(Data_RiskScores!$L$2:$L$14,MATCH($A6,Data_RiskScores!$A$2:$A$14,0)),"")</f>
        <v>Low</v>
      </c>
      <c r="K6" s="11" t="n">
        <f aca="false">IFERROR(INDEX(Data_RiskScores!$M$2:$M$14,MATCH($A6,Data_RiskScores!$A$2:$A$14,0)),"")</f>
        <v>25</v>
      </c>
    </row>
    <row r="7" customFormat="false" ht="15" hidden="false" customHeight="false" outlineLevel="0" collapsed="false">
      <c r="A7" s="13" t="s">
        <v>43</v>
      </c>
      <c r="B7" s="9" t="str">
        <f aca="false">IFERROR(INDEX(Data_RiskScores!$B$2:$B$14,MATCH($A7,Data_RiskScores!$A$2:$A$14,0)),"")</f>
        <v>Pro-Rata Allocation Fairness</v>
      </c>
      <c r="C7" s="9" t="str">
        <f aca="false">IFERROR(INDEX(Data_RiskScores!$C$2:$C$14,MATCH($A7,Data_RiskScores!$A$2:$A$14,0)),"")</f>
        <v>Trade Allocation &amp; Execution</v>
      </c>
      <c r="D7" s="9" t="str">
        <f aca="false">IFERROR(INDEX(Data_RiskScores!$E$2:$E$14,MATCH($A7,Data_RiskScores!$A$2:$A$14,0)),"")</f>
        <v>2026-08</v>
      </c>
      <c r="E7" s="9" t="n">
        <f aca="false">IFERROR(SUMIFS(Data_ControlResults!$E$2:$E$148,Data_ControlResults!$A$2:$A$148,$A7,Data_ControlResults!$D$2:$D$148,$D7),"")</f>
        <v>1120</v>
      </c>
      <c r="F7" s="14" t="n">
        <f aca="false">IFERROR(INDEX(Data_RiskScores!$F$2:$F$14,MATCH($A7,Data_RiskScores!$A$2:$A$14,0)),"")</f>
        <v>0.9545</v>
      </c>
      <c r="G7" s="14" t="n">
        <f aca="false">IFERROR(INDEX(Data_RiskScores!$G$2:$G$14,MATCH($A7,Data_RiskScores!$A$2:$A$14,0)),"")</f>
        <v>0.97</v>
      </c>
      <c r="H7" s="9" t="str">
        <f aca="false">IFERROR(INDEX(Data_RiskScores!$N$2:$N$14,MATCH($A7,Data_RiskScores!$A$2:$A$14,0)),"")</f>
        <v>Amber</v>
      </c>
      <c r="I7" s="9" t="n">
        <f aca="false">IFERROR(INDEX(Data_RiskScores!$I$2:$I$14,MATCH($A7,Data_RiskScores!$A$2:$A$14,0)),"")</f>
        <v>71.2</v>
      </c>
      <c r="J7" s="9" t="str">
        <f aca="false">IFERROR(INDEX(Data_RiskScores!$L$2:$L$14,MATCH($A7,Data_RiskScores!$A$2:$A$14,0)),"")</f>
        <v>Low</v>
      </c>
      <c r="K7" s="9" t="n">
        <f aca="false">IFERROR(INDEX(Data_RiskScores!$M$2:$M$14,MATCH($A7,Data_RiskScores!$A$2:$A$14,0)),"")</f>
        <v>92</v>
      </c>
    </row>
    <row r="8" customFormat="false" ht="15" hidden="false" customHeight="false" outlineLevel="0" collapsed="false">
      <c r="A8" s="15" t="s">
        <v>44</v>
      </c>
      <c r="B8" s="11" t="str">
        <f aca="false">IFERROR(INDEX(Data_RiskScores!$B$2:$B$14,MATCH($A8,Data_RiskScores!$A$2:$A$14,0)),"")</f>
        <v>Fee Recalculation Match</v>
      </c>
      <c r="C8" s="11" t="str">
        <f aca="false">IFERROR(INDEX(Data_RiskScores!$C$2:$C$14,MATCH($A8,Data_RiskScores!$A$2:$A$14,0)),"")</f>
        <v>Fee Billing &amp; Calculation</v>
      </c>
      <c r="D8" s="11" t="str">
        <f aca="false">IFERROR(INDEX(Data_RiskScores!$E$2:$E$14,MATCH($A8,Data_RiskScores!$A$2:$A$14,0)),"")</f>
        <v>2026-08</v>
      </c>
      <c r="E8" s="11" t="n">
        <f aca="false">IFERROR(SUMIFS(Data_ControlResults!$E$2:$E$148,Data_ControlResults!$A$2:$A$148,$A8,Data_ControlResults!$D$2:$D$148,$D8),"")</f>
        <v>299</v>
      </c>
      <c r="F8" s="16" t="n">
        <f aca="false">IFERROR(INDEX(Data_RiskScores!$F$2:$F$14,MATCH($A8,Data_RiskScores!$A$2:$A$14,0)),"")</f>
        <v>0.9833</v>
      </c>
      <c r="G8" s="16" t="n">
        <f aca="false">IFERROR(INDEX(Data_RiskScores!$G$2:$G$14,MATCH($A8,Data_RiskScores!$A$2:$A$14,0)),"")</f>
        <v>0.97</v>
      </c>
      <c r="H8" s="11" t="str">
        <f aca="false">IFERROR(INDEX(Data_RiskScores!$N$2:$N$14,MATCH($A8,Data_RiskScores!$A$2:$A$14,0)),"")</f>
        <v>Green</v>
      </c>
      <c r="I8" s="11" t="n">
        <f aca="false">IFERROR(INDEX(Data_RiskScores!$I$2:$I$14,MATCH($A8,Data_RiskScores!$A$2:$A$14,0)),"")</f>
        <v>86.3</v>
      </c>
      <c r="J8" s="11" t="str">
        <f aca="false">IFERROR(INDEX(Data_RiskScores!$L$2:$L$14,MATCH($A8,Data_RiskScores!$A$2:$A$14,0)),"")</f>
        <v>Low</v>
      </c>
      <c r="K8" s="11" t="n">
        <f aca="false">IFERROR(INDEX(Data_RiskScores!$M$2:$M$14,MATCH($A8,Data_RiskScores!$A$2:$A$14,0)),"")</f>
        <v>12</v>
      </c>
    </row>
    <row r="9" customFormat="false" ht="15" hidden="false" customHeight="false" outlineLevel="0" collapsed="false">
      <c r="A9" s="13" t="s">
        <v>45</v>
      </c>
      <c r="B9" s="9" t="str">
        <f aca="false">IFERROR(INDEX(Data_RiskScores!$B$2:$B$14,MATCH($A9,Data_RiskScores!$A$2:$A$14,0)),"")</f>
        <v>Invoice Timeliness SLA</v>
      </c>
      <c r="C9" s="9" t="str">
        <f aca="false">IFERROR(INDEX(Data_RiskScores!$C$2:$C$14,MATCH($A9,Data_RiskScores!$A$2:$A$14,0)),"")</f>
        <v>Fee Billing &amp; Calculation</v>
      </c>
      <c r="D9" s="9" t="str">
        <f aca="false">IFERROR(INDEX(Data_RiskScores!$E$2:$E$14,MATCH($A9,Data_RiskScores!$A$2:$A$14,0)),"")</f>
        <v>2026-08</v>
      </c>
      <c r="E9" s="9" t="n">
        <f aca="false">IFERROR(SUMIFS(Data_ControlResults!$E$2:$E$148,Data_ControlResults!$A$2:$A$148,$A9,Data_ControlResults!$D$2:$D$148,$D9),"")</f>
        <v>300</v>
      </c>
      <c r="F9" s="14" t="n">
        <f aca="false">IFERROR(INDEX(Data_RiskScores!$F$2:$F$14,MATCH($A9,Data_RiskScores!$A$2:$A$14,0)),"")</f>
        <v>0.96</v>
      </c>
      <c r="G9" s="14" t="n">
        <f aca="false">IFERROR(INDEX(Data_RiskScores!$G$2:$G$14,MATCH($A9,Data_RiskScores!$A$2:$A$14,0)),"")</f>
        <v>0.95</v>
      </c>
      <c r="H9" s="9" t="str">
        <f aca="false">IFERROR(INDEX(Data_RiskScores!$N$2:$N$14,MATCH($A9,Data_RiskScores!$A$2:$A$14,0)),"")</f>
        <v>Green</v>
      </c>
      <c r="I9" s="9" t="n">
        <f aca="false">IFERROR(INDEX(Data_RiskScores!$I$2:$I$14,MATCH($A9,Data_RiskScores!$A$2:$A$14,0)),"")</f>
        <v>76.3</v>
      </c>
      <c r="J9" s="9" t="str">
        <f aca="false">IFERROR(INDEX(Data_RiskScores!$L$2:$L$14,MATCH($A9,Data_RiskScores!$A$2:$A$14,0)),"")</f>
        <v>Low</v>
      </c>
      <c r="K9" s="9" t="n">
        <f aca="false">IFERROR(INDEX(Data_RiskScores!$M$2:$M$14,MATCH($A9,Data_RiskScores!$A$2:$A$14,0)),"")</f>
        <v>28</v>
      </c>
    </row>
    <row r="10" customFormat="false" ht="15" hidden="false" customHeight="false" outlineLevel="0" collapsed="false">
      <c r="A10" s="15" t="s">
        <v>46</v>
      </c>
      <c r="B10" s="11" t="str">
        <f aca="false">IFERROR(INDEX(Data_RiskScores!$B$2:$B$14,MATCH($A10,Data_RiskScores!$A$2:$A$14,0)),"")</f>
        <v>Refresh SLA Compliance</v>
      </c>
      <c r="C10" s="11" t="str">
        <f aca="false">IFERROR(INDEX(Data_RiskScores!$C$2:$C$14,MATCH($A10,Data_RiskScores!$A$2:$A$14,0)),"")</f>
        <v>Client Onboarding / KYC-AML Refresh</v>
      </c>
      <c r="D10" s="11" t="str">
        <f aca="false">IFERROR(INDEX(Data_RiskScores!$E$2:$E$14,MATCH($A10,Data_RiskScores!$A$2:$A$14,0)),"")</f>
        <v>2026-09</v>
      </c>
      <c r="E10" s="11" t="n">
        <f aca="false">IFERROR(SUMIFS(Data_ControlResults!$E$2:$E$148,Data_ControlResults!$A$2:$A$148,$A10,Data_ControlResults!$D$2:$D$148,$D10),"")</f>
        <v>118</v>
      </c>
      <c r="F10" s="16" t="n">
        <f aca="false">IFERROR(INDEX(Data_RiskScores!$F$2:$F$14,MATCH($A10,Data_RiskScores!$A$2:$A$14,0)),"")</f>
        <v>0.661</v>
      </c>
      <c r="G10" s="16" t="n">
        <f aca="false">IFERROR(INDEX(Data_RiskScores!$G$2:$G$14,MATCH($A10,Data_RiskScores!$A$2:$A$14,0)),"")</f>
        <v>0.96</v>
      </c>
      <c r="H10" s="11" t="str">
        <f aca="false">IFERROR(INDEX(Data_RiskScores!$N$2:$N$14,MATCH($A10,Data_RiskScores!$A$2:$A$14,0)),"")</f>
        <v>Red</v>
      </c>
      <c r="I10" s="11" t="n">
        <f aca="false">IFERROR(INDEX(Data_RiskScores!$I$2:$I$14,MATCH($A10,Data_RiskScores!$A$2:$A$14,0)),"")</f>
        <v>42.4</v>
      </c>
      <c r="J10" s="11" t="str">
        <f aca="false">IFERROR(INDEX(Data_RiskScores!$L$2:$L$14,MATCH($A10,Data_RiskScores!$A$2:$A$14,0)),"")</f>
        <v>High</v>
      </c>
      <c r="K10" s="11" t="n">
        <f aca="false">IFERROR(INDEX(Data_RiskScores!$M$2:$M$14,MATCH($A10,Data_RiskScores!$A$2:$A$14,0)),"")</f>
        <v>61</v>
      </c>
    </row>
    <row r="11" customFormat="false" ht="15" hidden="false" customHeight="false" outlineLevel="0" collapsed="false">
      <c r="A11" s="13" t="s">
        <v>47</v>
      </c>
      <c r="B11" s="9" t="str">
        <f aca="false">IFERROR(INDEX(Data_RiskScores!$B$2:$B$14,MATCH($A11,Data_RiskScores!$A$2:$A$14,0)),"")</f>
        <v>Documentation Completeness</v>
      </c>
      <c r="C11" s="9" t="str">
        <f aca="false">IFERROR(INDEX(Data_RiskScores!$C$2:$C$14,MATCH($A11,Data_RiskScores!$A$2:$A$14,0)),"")</f>
        <v>Client Onboarding / KYC-AML Refresh</v>
      </c>
      <c r="D11" s="9" t="str">
        <f aca="false">IFERROR(INDEX(Data_RiskScores!$E$2:$E$14,MATCH($A11,Data_RiskScores!$A$2:$A$14,0)),"")</f>
        <v>2026-09</v>
      </c>
      <c r="E11" s="9" t="n">
        <f aca="false">IFERROR(SUMIFS(Data_ControlResults!$E$2:$E$148,Data_ControlResults!$A$2:$A$148,$A11,Data_ControlResults!$D$2:$D$148,$D11),"")</f>
        <v>118</v>
      </c>
      <c r="F11" s="14" t="n">
        <f aca="false">IFERROR(INDEX(Data_RiskScores!$F$2:$F$14,MATCH($A11,Data_RiskScores!$A$2:$A$14,0)),"")</f>
        <v>0.9576</v>
      </c>
      <c r="G11" s="14" t="n">
        <f aca="false">IFERROR(INDEX(Data_RiskScores!$G$2:$G$14,MATCH($A11,Data_RiskScores!$A$2:$A$14,0)),"")</f>
        <v>0.98</v>
      </c>
      <c r="H11" s="9" t="str">
        <f aca="false">IFERROR(INDEX(Data_RiskScores!$N$2:$N$14,MATCH($A11,Data_RiskScores!$A$2:$A$14,0)),"")</f>
        <v>Amber</v>
      </c>
      <c r="I11" s="9" t="n">
        <f aca="false">IFERROR(INDEX(Data_RiskScores!$I$2:$I$14,MATCH($A11,Data_RiskScores!$A$2:$A$14,0)),"")</f>
        <v>68.6</v>
      </c>
      <c r="J11" s="9" t="str">
        <f aca="false">IFERROR(INDEX(Data_RiskScores!$L$2:$L$14,MATCH($A11,Data_RiskScores!$A$2:$A$14,0)),"")</f>
        <v>Medium</v>
      </c>
      <c r="K11" s="9" t="n">
        <f aca="false">IFERROR(INDEX(Data_RiskScores!$M$2:$M$14,MATCH($A11,Data_RiskScores!$A$2:$A$14,0)),"")</f>
        <v>9</v>
      </c>
    </row>
    <row r="12" customFormat="false" ht="15" hidden="false" customHeight="false" outlineLevel="0" collapsed="false">
      <c r="A12" s="15" t="s">
        <v>48</v>
      </c>
      <c r="B12" s="11" t="str">
        <f aca="false">IFERROR(INDEX(Data_RiskScores!$B$2:$B$14,MATCH($A12,Data_RiskScores!$A$2:$A$14,0)),"")</f>
        <v>Price Variance Tolerance</v>
      </c>
      <c r="C12" s="11" t="str">
        <f aca="false">IFERROR(INDEX(Data_RiskScores!$C$2:$C$14,MATCH($A12,Data_RiskScores!$A$2:$A$14,0)),"")</f>
        <v>NAV / Valuation Oversight</v>
      </c>
      <c r="D12" s="11" t="str">
        <f aca="false">IFERROR(INDEX(Data_RiskScores!$E$2:$E$14,MATCH($A12,Data_RiskScores!$A$2:$A$14,0)),"")</f>
        <v>2026-08</v>
      </c>
      <c r="E12" s="11" t="n">
        <f aca="false">IFERROR(SUMIFS(Data_ControlResults!$E$2:$E$148,Data_ControlResults!$A$2:$A$148,$A12,Data_ControlResults!$D$2:$D$148,$D12),"")</f>
        <v>420</v>
      </c>
      <c r="F12" s="16" t="n">
        <f aca="false">IFERROR(INDEX(Data_RiskScores!$F$2:$F$14,MATCH($A12,Data_RiskScores!$A$2:$A$14,0)),"")</f>
        <v>0.9762</v>
      </c>
      <c r="G12" s="16" t="n">
        <f aca="false">IFERROR(INDEX(Data_RiskScores!$G$2:$G$14,MATCH($A12,Data_RiskScores!$A$2:$A$14,0)),"")</f>
        <v>0.97</v>
      </c>
      <c r="H12" s="11" t="str">
        <f aca="false">IFERROR(INDEX(Data_RiskScores!$N$2:$N$14,MATCH($A12,Data_RiskScores!$A$2:$A$14,0)),"")</f>
        <v>Green</v>
      </c>
      <c r="I12" s="11" t="n">
        <f aca="false">IFERROR(INDEX(Data_RiskScores!$I$2:$I$14,MATCH($A12,Data_RiskScores!$A$2:$A$14,0)),"")</f>
        <v>89</v>
      </c>
      <c r="J12" s="11" t="str">
        <f aca="false">IFERROR(INDEX(Data_RiskScores!$L$2:$L$14,MATCH($A12,Data_RiskScores!$A$2:$A$14,0)),"")</f>
        <v>Low</v>
      </c>
      <c r="K12" s="11" t="n">
        <f aca="false">IFERROR(INDEX(Data_RiskScores!$M$2:$M$14,MATCH($A12,Data_RiskScores!$A$2:$A$14,0)),"")</f>
        <v>12</v>
      </c>
    </row>
    <row r="13" customFormat="false" ht="15" hidden="false" customHeight="false" outlineLevel="0" collapsed="false">
      <c r="A13" s="13" t="s">
        <v>49</v>
      </c>
      <c r="B13" s="9" t="str">
        <f aca="false">IFERROR(INDEX(Data_RiskScores!$B$2:$B$14,MATCH($A13,Data_RiskScores!$A$2:$A$14,0)),"")</f>
        <v>Break Resolution SLA</v>
      </c>
      <c r="C13" s="9" t="str">
        <f aca="false">IFERROR(INDEX(Data_RiskScores!$C$2:$C$14,MATCH($A13,Data_RiskScores!$A$2:$A$14,0)),"")</f>
        <v>NAV / Valuation Oversight</v>
      </c>
      <c r="D13" s="9" t="str">
        <f aca="false">IFERROR(INDEX(Data_RiskScores!$E$2:$E$14,MATCH($A13,Data_RiskScores!$A$2:$A$14,0)),"")</f>
        <v>2026-08</v>
      </c>
      <c r="E13" s="9" t="n">
        <f aca="false">IFERROR(SUMIFS(Data_ControlResults!$E$2:$E$148,Data_ControlResults!$A$2:$A$148,$A13,Data_ControlResults!$D$2:$D$148,$D13),"")</f>
        <v>10</v>
      </c>
      <c r="F13" s="14" t="n">
        <f aca="false">IFERROR(INDEX(Data_RiskScores!$F$2:$F$14,MATCH($A13,Data_RiskScores!$A$2:$A$14,0)),"")</f>
        <v>0.6</v>
      </c>
      <c r="G13" s="14" t="n">
        <f aca="false">IFERROR(INDEX(Data_RiskScores!$G$2:$G$14,MATCH($A13,Data_RiskScores!$A$2:$A$14,0)),"")</f>
        <v>0.9</v>
      </c>
      <c r="H13" s="9" t="str">
        <f aca="false">IFERROR(INDEX(Data_RiskScores!$N$2:$N$14,MATCH($A13,Data_RiskScores!$A$2:$A$14,0)),"")</f>
        <v>Red</v>
      </c>
      <c r="I13" s="9" t="n">
        <f aca="false">IFERROR(INDEX(Data_RiskScores!$I$2:$I$14,MATCH($A13,Data_RiskScores!$A$2:$A$14,0)),"")</f>
        <v>48</v>
      </c>
      <c r="J13" s="9" t="str">
        <f aca="false">IFERROR(INDEX(Data_RiskScores!$L$2:$L$14,MATCH($A13,Data_RiskScores!$A$2:$A$14,0)),"")</f>
        <v>High</v>
      </c>
      <c r="K13" s="9" t="n">
        <f aca="false">IFERROR(INDEX(Data_RiskScores!$M$2:$M$14,MATCH($A13,Data_RiskScores!$A$2:$A$14,0)),"")</f>
        <v>2</v>
      </c>
    </row>
    <row r="14" customFormat="false" ht="15" hidden="false" customHeight="false" outlineLevel="0" collapsed="false">
      <c r="A14" s="15" t="s">
        <v>50</v>
      </c>
      <c r="B14" s="11" t="str">
        <f aca="false">IFERROR(INDEX(Data_RiskScores!$B$2:$B$14,MATCH($A14,Data_RiskScores!$A$2:$A$14,0)),"")</f>
        <v>Dual Approval Threshold</v>
      </c>
      <c r="C14" s="11" t="str">
        <f aca="false">IFERROR(INDEX(Data_RiskScores!$C$2:$C$14,MATCH($A14,Data_RiskScores!$A$2:$A$14,0)),"")</f>
        <v>Cash &amp; Collateral Movements</v>
      </c>
      <c r="D14" s="11" t="str">
        <f aca="false">IFERROR(INDEX(Data_RiskScores!$E$2:$E$14,MATCH($A14,Data_RiskScores!$A$2:$A$14,0)),"")</f>
        <v>2026-08</v>
      </c>
      <c r="E14" s="11" t="n">
        <f aca="false">IFERROR(SUMIFS(Data_ControlResults!$E$2:$E$148,Data_ControlResults!$A$2:$A$148,$A14,Data_ControlResults!$D$2:$D$148,$D14),"")</f>
        <v>54</v>
      </c>
      <c r="F14" s="16" t="n">
        <f aca="false">IFERROR(INDEX(Data_RiskScores!$F$2:$F$14,MATCH($A14,Data_RiskScores!$A$2:$A$14,0)),"")</f>
        <v>0.8889</v>
      </c>
      <c r="G14" s="16" t="n">
        <f aca="false">IFERROR(INDEX(Data_RiskScores!$G$2:$G$14,MATCH($A14,Data_RiskScores!$A$2:$A$14,0)),"")</f>
        <v>0.99</v>
      </c>
      <c r="H14" s="11" t="str">
        <f aca="false">IFERROR(INDEX(Data_RiskScores!$N$2:$N$14,MATCH($A14,Data_RiskScores!$A$2:$A$14,0)),"")</f>
        <v>Red</v>
      </c>
      <c r="I14" s="11" t="n">
        <f aca="false">IFERROR(INDEX(Data_RiskScores!$I$2:$I$14,MATCH($A14,Data_RiskScores!$A$2:$A$14,0)),"")</f>
        <v>63.9</v>
      </c>
      <c r="J14" s="11" t="str">
        <f aca="false">IFERROR(INDEX(Data_RiskScores!$L$2:$L$14,MATCH($A14,Data_RiskScores!$A$2:$A$14,0)),"")</f>
        <v>Medium</v>
      </c>
      <c r="K14" s="11" t="n">
        <f aca="false">IFERROR(INDEX(Data_RiskScores!$M$2:$M$14,MATCH($A14,Data_RiskScores!$A$2:$A$14,0)),"")</f>
        <v>1</v>
      </c>
    </row>
    <row r="15" customFormat="false" ht="15" hidden="false" customHeight="false" outlineLevel="0" collapsed="false">
      <c r="A15" s="13" t="s">
        <v>51</v>
      </c>
      <c r="B15" s="9" t="str">
        <f aca="false">IFERROR(INDEX(Data_RiskScores!$B$2:$B$14,MATCH($A15,Data_RiskScores!$A$2:$A$14,0)),"")</f>
        <v>Custodian Reconciliation Match</v>
      </c>
      <c r="C15" s="9" t="str">
        <f aca="false">IFERROR(INDEX(Data_RiskScores!$C$2:$C$14,MATCH($A15,Data_RiskScores!$A$2:$A$14,0)),"")</f>
        <v>Cash &amp; Collateral Movements</v>
      </c>
      <c r="D15" s="9" t="str">
        <f aca="false">IFERROR(INDEX(Data_RiskScores!$E$2:$E$14,MATCH($A15,Data_RiskScores!$A$2:$A$14,0)),"")</f>
        <v>2026-08</v>
      </c>
      <c r="E15" s="9" t="n">
        <f aca="false">IFERROR(SUMIFS(Data_ControlResults!$E$2:$E$148,Data_ControlResults!$A$2:$A$148,$A15,Data_ControlResults!$D$2:$D$148,$D15),"")</f>
        <v>292</v>
      </c>
      <c r="F15" s="14" t="n">
        <f aca="false">IFERROR(INDEX(Data_RiskScores!$F$2:$F$14,MATCH($A15,Data_RiskScores!$A$2:$A$14,0)),"")</f>
        <v>0.9829</v>
      </c>
      <c r="G15" s="14" t="n">
        <f aca="false">IFERROR(INDEX(Data_RiskScores!$G$2:$G$14,MATCH($A15,Data_RiskScores!$A$2:$A$14,0)),"")</f>
        <v>0.98</v>
      </c>
      <c r="H15" s="9" t="str">
        <f aca="false">IFERROR(INDEX(Data_RiskScores!$N$2:$N$14,MATCH($A15,Data_RiskScores!$A$2:$A$14,0)),"")</f>
        <v>Green</v>
      </c>
      <c r="I15" s="9" t="n">
        <f aca="false">IFERROR(INDEX(Data_RiskScores!$I$2:$I$14,MATCH($A15,Data_RiskScores!$A$2:$A$14,0)),"")</f>
        <v>87.3</v>
      </c>
      <c r="J15" s="9" t="str">
        <f aca="false">IFERROR(INDEX(Data_RiskScores!$L$2:$L$14,MATCH($A15,Data_RiskScores!$A$2:$A$14,0)),"")</f>
        <v>Low</v>
      </c>
      <c r="K15" s="9" t="n">
        <f aca="false">IFERROR(INDEX(Data_RiskScores!$M$2:$M$14,MATCH($A15,Data_RiskScores!$A$2:$A$14,0)),"")</f>
        <v>6</v>
      </c>
    </row>
    <row r="16" customFormat="false" ht="15" hidden="false" customHeight="false" outlineLevel="0" collapsed="false">
      <c r="A16" s="15" t="s">
        <v>52</v>
      </c>
      <c r="B16" s="11" t="str">
        <f aca="false">IFERROR(INDEX(Data_RiskScores!$B$2:$B$14,MATCH($A16,Data_RiskScores!$A$2:$A$14,0)),"")</f>
        <v>Guideline Band Compliance</v>
      </c>
      <c r="C16" s="11" t="str">
        <f aca="false">IFERROR(INDEX(Data_RiskScores!$C$2:$C$14,MATCH($A16,Data_RiskScores!$A$2:$A$14,0)),"")</f>
        <v>Suitability &amp; Mandate Compliance</v>
      </c>
      <c r="D16" s="11" t="str">
        <f aca="false">IFERROR(INDEX(Data_RiskScores!$E$2:$E$14,MATCH($A16,Data_RiskScores!$A$2:$A$14,0)),"")</f>
        <v>2026-08</v>
      </c>
      <c r="E16" s="11" t="n">
        <f aca="false">IFERROR(SUMIFS(Data_ControlResults!$E$2:$E$148,Data_ControlResults!$A$2:$A$148,$A16,Data_ControlResults!$D$2:$D$148,$D16),"")</f>
        <v>450</v>
      </c>
      <c r="F16" s="16" t="n">
        <f aca="false">IFERROR(INDEX(Data_RiskScores!$F$2:$F$14,MATCH($A16,Data_RiskScores!$A$2:$A$14,0)),"")</f>
        <v>0.9422</v>
      </c>
      <c r="G16" s="16" t="n">
        <f aca="false">IFERROR(INDEX(Data_RiskScores!$G$2:$G$14,MATCH($A16,Data_RiskScores!$A$2:$A$14,0)),"")</f>
        <v>0.93</v>
      </c>
      <c r="H16" s="11" t="str">
        <f aca="false">IFERROR(INDEX(Data_RiskScores!$N$2:$N$14,MATCH($A16,Data_RiskScores!$A$2:$A$14,0)),"")</f>
        <v>Green</v>
      </c>
      <c r="I16" s="11" t="n">
        <f aca="false">IFERROR(INDEX(Data_RiskScores!$I$2:$I$14,MATCH($A16,Data_RiskScores!$A$2:$A$14,0)),"")</f>
        <v>84</v>
      </c>
      <c r="J16" s="11" t="str">
        <f aca="false">IFERROR(INDEX(Data_RiskScores!$L$2:$L$14,MATCH($A16,Data_RiskScores!$A$2:$A$14,0)),"")</f>
        <v>Low</v>
      </c>
      <c r="K16" s="11" t="n">
        <f aca="false">IFERROR(INDEX(Data_RiskScores!$M$2:$M$14,MATCH($A16,Data_RiskScores!$A$2:$A$14,0)),"")</f>
        <v>23</v>
      </c>
    </row>
    <row r="17" customFormat="false" ht="15" hidden="false" customHeight="false" outlineLevel="0" collapsed="false">
      <c r="A17" s="13" t="s">
        <v>53</v>
      </c>
      <c r="B17" s="9" t="str">
        <f aca="false">IFERROR(INDEX(Data_RiskScores!$B$2:$B$14,MATCH($A17,Data_RiskScores!$A$2:$A$14,0)),"")</f>
        <v>Periodic Suitability Review</v>
      </c>
      <c r="C17" s="9" t="str">
        <f aca="false">IFERROR(INDEX(Data_RiskScores!$C$2:$C$14,MATCH($A17,Data_RiskScores!$A$2:$A$14,0)),"")</f>
        <v>Suitability &amp; Mandate Compliance</v>
      </c>
      <c r="D17" s="9" t="str">
        <f aca="false">IFERROR(INDEX(Data_RiskScores!$E$2:$E$14,MATCH($A17,Data_RiskScores!$A$2:$A$14,0)),"")</f>
        <v>2026-08</v>
      </c>
      <c r="E17" s="9" t="n">
        <f aca="false">IFERROR(SUMIFS(Data_ControlResults!$E$2:$E$148,Data_ControlResults!$A$2:$A$148,$A17,Data_ControlResults!$D$2:$D$148,$D17),"")</f>
        <v>10</v>
      </c>
      <c r="F17" s="14" t="n">
        <f aca="false">IFERROR(INDEX(Data_RiskScores!$F$2:$F$14,MATCH($A17,Data_RiskScores!$A$2:$A$14,0)),"")</f>
        <v>1</v>
      </c>
      <c r="G17" s="14" t="n">
        <f aca="false">IFERROR(INDEX(Data_RiskScores!$G$2:$G$14,MATCH($A17,Data_RiskScores!$A$2:$A$14,0)),"")</f>
        <v>0.95</v>
      </c>
      <c r="H17" s="9" t="str">
        <f aca="false">IFERROR(INDEX(Data_RiskScores!$N$2:$N$14,MATCH($A17,Data_RiskScores!$A$2:$A$14,0)),"")</f>
        <v>Green</v>
      </c>
      <c r="I17" s="9" t="n">
        <f aca="false">IFERROR(INDEX(Data_RiskScores!$I$2:$I$14,MATCH($A17,Data_RiskScores!$A$2:$A$14,0)),"")</f>
        <v>92</v>
      </c>
      <c r="J17" s="9" t="str">
        <f aca="false">IFERROR(INDEX(Data_RiskScores!$L$2:$L$14,MATCH($A17,Data_RiskScores!$A$2:$A$14,0)),"")</f>
        <v>Low</v>
      </c>
      <c r="K17" s="9" t="n">
        <f aca="false">IFERROR(INDEX(Data_RiskScores!$M$2:$M$14,MATCH($A17,Data_RiskScores!$A$2:$A$14,0)),"")</f>
        <v>0</v>
      </c>
    </row>
  </sheetData>
  <autoFilter ref="A4:K17"/>
  <mergeCells count="2">
    <mergeCell ref="A1:K1"/>
    <mergeCell ref="A2:K2"/>
  </mergeCells>
  <conditionalFormatting sqref="H5:H17">
    <cfRule type="cellIs" priority="2" operator="equal" aboveAverage="0" equalAverage="0" bottom="0" percent="0" rank="0" text="" dxfId="8">
      <formula>"Red"</formula>
    </cfRule>
    <cfRule type="cellIs" priority="3" operator="equal" aboveAverage="0" equalAverage="0" bottom="0" percent="0" rank="0" text="" dxfId="9">
      <formula>"Amber"</formula>
    </cfRule>
    <cfRule type="cellIs" priority="4" operator="equal" aboveAverage="0" equalAverage="0" bottom="0" percent="0" rank="0" text="" dxfId="10">
      <formula>"Green"</formula>
    </cfRule>
  </conditionalFormatting>
  <conditionalFormatting sqref="J5:J17">
    <cfRule type="cellIs" priority="5" operator="equal" aboveAverage="0" equalAverage="0" bottom="0" percent="0" rank="0" text="" dxfId="9">
      <formula>"High"</formula>
    </cfRule>
    <cfRule type="cellIs" priority="6" operator="equal" aboveAverage="0" equalAverage="0" bottom="0" percent="0" rank="0" text="" dxfId="8">
      <formula>"Critical"</formula>
    </cfRule>
    <cfRule type="cellIs" priority="7" operator="equal" aboveAverage="0" equalAverage="0" bottom="0" percent="0" rank="0" text="" dxfId="10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7C8C"/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0"/>
  </cols>
  <sheetData>
    <row r="1" customFormat="false" ht="25.5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7.75" hidden="false" customHeight="true" outlineLevel="0" collapsed="false">
      <c r="A4" s="8" t="s">
        <v>30</v>
      </c>
      <c r="B4" s="8" t="s">
        <v>56</v>
      </c>
      <c r="C4" s="8" t="s">
        <v>57</v>
      </c>
      <c r="D4" s="8" t="s">
        <v>58</v>
      </c>
      <c r="E4" s="8" t="s">
        <v>59</v>
      </c>
      <c r="F4" s="8" t="s">
        <v>60</v>
      </c>
      <c r="G4" s="8" t="s">
        <v>61</v>
      </c>
      <c r="H4" s="8" t="s">
        <v>62</v>
      </c>
      <c r="I4" s="8" t="s">
        <v>63</v>
      </c>
      <c r="J4" s="8" t="s">
        <v>64</v>
      </c>
      <c r="K4" s="8" t="s">
        <v>65</v>
      </c>
      <c r="L4" s="8" t="s">
        <v>66</v>
      </c>
      <c r="M4" s="8" t="s">
        <v>67</v>
      </c>
      <c r="N4" s="8" t="s">
        <v>68</v>
      </c>
    </row>
    <row r="5" customFormat="false" ht="15" hidden="false" customHeight="false" outlineLevel="0" collapsed="false">
      <c r="A5" s="17" t="s">
        <v>41</v>
      </c>
      <c r="B5" s="18" t="n">
        <f aca="false">IFERROR(AVERAGEIFS(Data_ControlResults!$I$2:$I$148,Data_ControlResults!$A$2:$A$148,$A5,Data_ControlResults!$D$2:$D$148,B$4),"")</f>
        <v>0.9874</v>
      </c>
      <c r="C5" s="18" t="n">
        <f aca="false">IFERROR(AVERAGEIFS(Data_ControlResults!$I$2:$I$148,Data_ControlResults!$A$2:$A$148,$A5,Data_ControlResults!$D$2:$D$148,C$4),"")</f>
        <v>0.9884</v>
      </c>
      <c r="D5" s="18" t="n">
        <f aca="false">IFERROR(AVERAGEIFS(Data_ControlResults!$I$2:$I$148,Data_ControlResults!$A$2:$A$148,$A5,Data_ControlResults!$D$2:$D$148,D$4),"")</f>
        <v>0.9896</v>
      </c>
      <c r="E5" s="18" t="n">
        <f aca="false">IFERROR(AVERAGEIFS(Data_ControlResults!$I$2:$I$148,Data_ControlResults!$A$2:$A$148,$A5,Data_ControlResults!$D$2:$D$148,E$4),"")</f>
        <v>0.9905</v>
      </c>
      <c r="F5" s="18" t="n">
        <f aca="false">IFERROR(AVERAGEIFS(Data_ControlResults!$I$2:$I$148,Data_ControlResults!$A$2:$A$148,$A5,Data_ControlResults!$D$2:$D$148,F$4),"")</f>
        <v>0.9914</v>
      </c>
      <c r="G5" s="18" t="n">
        <f aca="false">IFERROR(AVERAGEIFS(Data_ControlResults!$I$2:$I$148,Data_ControlResults!$A$2:$A$148,$A5,Data_ControlResults!$D$2:$D$148,G$4),"")</f>
        <v>0.99</v>
      </c>
      <c r="H5" s="18" t="n">
        <f aca="false">IFERROR(AVERAGEIFS(Data_ControlResults!$I$2:$I$148,Data_ControlResults!$A$2:$A$148,$A5,Data_ControlResults!$D$2:$D$148,H$4),"")</f>
        <v>0.9896</v>
      </c>
      <c r="I5" s="18" t="n">
        <f aca="false">IFERROR(AVERAGEIFS(Data_ControlResults!$I$2:$I$148,Data_ControlResults!$A$2:$A$148,$A5,Data_ControlResults!$D$2:$D$148,I$4),"")</f>
        <v>0.9896</v>
      </c>
      <c r="J5" s="18" t="n">
        <f aca="false">IFERROR(AVERAGEIFS(Data_ControlResults!$I$2:$I$148,Data_ControlResults!$A$2:$A$148,$A5,Data_ControlResults!$D$2:$D$148,J$4),"")</f>
        <v>0.9525</v>
      </c>
      <c r="K5" s="18" t="n">
        <f aca="false">IFERROR(AVERAGEIFS(Data_ControlResults!$I$2:$I$148,Data_ControlResults!$A$2:$A$148,$A5,Data_ControlResults!$D$2:$D$148,K$4),"")</f>
        <v>0.921</v>
      </c>
      <c r="L5" s="18" t="n">
        <f aca="false">IFERROR(AVERAGEIFS(Data_ControlResults!$I$2:$I$148,Data_ControlResults!$A$2:$A$148,$A5,Data_ControlResults!$D$2:$D$148,L$4),"")</f>
        <v>0.9003</v>
      </c>
      <c r="M5" s="18" t="n">
        <f aca="false">IFERROR(AVERAGEIFS(Data_ControlResults!$I$2:$I$148,Data_ControlResults!$A$2:$A$148,$A5,Data_ControlResults!$D$2:$D$148,M$4),"")</f>
        <v>0.8545</v>
      </c>
      <c r="N5" s="18" t="str">
        <f aca="false">IFERROR(AVERAGEIFS(Data_ControlResults!$I$2:$I$148,Data_ControlResults!$A$2:$A$148,$A5,Data_ControlResults!$D$2:$D$148,N$4),"")</f>
        <v/>
      </c>
    </row>
    <row r="6" customFormat="false" ht="15" hidden="false" customHeight="false" outlineLevel="0" collapsed="false">
      <c r="A6" s="17" t="s">
        <v>42</v>
      </c>
      <c r="B6" s="19" t="n">
        <f aca="false">IFERROR(AVERAGEIFS(Data_ControlResults!$I$2:$I$148,Data_ControlResults!$A$2:$A$148,$A6,Data_ControlResults!$D$2:$D$148,B$4),"")</f>
        <v>0.9815</v>
      </c>
      <c r="C6" s="19" t="n">
        <f aca="false">IFERROR(AVERAGEIFS(Data_ControlResults!$I$2:$I$148,Data_ControlResults!$A$2:$A$148,$A6,Data_ControlResults!$D$2:$D$148,C$4),"")</f>
        <v>0.9751</v>
      </c>
      <c r="D6" s="19" t="n">
        <f aca="false">IFERROR(AVERAGEIFS(Data_ControlResults!$I$2:$I$148,Data_ControlResults!$A$2:$A$148,$A6,Data_ControlResults!$D$2:$D$148,D$4),"")</f>
        <v>0.9867</v>
      </c>
      <c r="E6" s="19" t="n">
        <f aca="false">IFERROR(AVERAGEIFS(Data_ControlResults!$I$2:$I$148,Data_ControlResults!$A$2:$A$148,$A6,Data_ControlResults!$D$2:$D$148,E$4),"")</f>
        <v>0.9849</v>
      </c>
      <c r="F6" s="19" t="n">
        <f aca="false">IFERROR(AVERAGEIFS(Data_ControlResults!$I$2:$I$148,Data_ControlResults!$A$2:$A$148,$A6,Data_ControlResults!$D$2:$D$148,F$4),"")</f>
        <v>0.9905</v>
      </c>
      <c r="G6" s="19" t="n">
        <f aca="false">IFERROR(AVERAGEIFS(Data_ControlResults!$I$2:$I$148,Data_ControlResults!$A$2:$A$148,$A6,Data_ControlResults!$D$2:$D$148,G$4),"")</f>
        <v>0.9909</v>
      </c>
      <c r="H6" s="19" t="n">
        <f aca="false">IFERROR(AVERAGEIFS(Data_ControlResults!$I$2:$I$148,Data_ControlResults!$A$2:$A$148,$A6,Data_ControlResults!$D$2:$D$148,H$4),"")</f>
        <v>0.987</v>
      </c>
      <c r="I6" s="19" t="n">
        <f aca="false">IFERROR(AVERAGEIFS(Data_ControlResults!$I$2:$I$148,Data_ControlResults!$A$2:$A$148,$A6,Data_ControlResults!$D$2:$D$148,I$4),"")</f>
        <v>0.9852</v>
      </c>
      <c r="J6" s="19" t="n">
        <f aca="false">IFERROR(AVERAGEIFS(Data_ControlResults!$I$2:$I$148,Data_ControlResults!$A$2:$A$148,$A6,Data_ControlResults!$D$2:$D$148,J$4),"")</f>
        <v>0.9835</v>
      </c>
      <c r="K6" s="19" t="n">
        <f aca="false">IFERROR(AVERAGEIFS(Data_ControlResults!$I$2:$I$148,Data_ControlResults!$A$2:$A$148,$A6,Data_ControlResults!$D$2:$D$148,K$4),"")</f>
        <v>0.9829</v>
      </c>
      <c r="L6" s="19" t="n">
        <f aca="false">IFERROR(AVERAGEIFS(Data_ControlResults!$I$2:$I$148,Data_ControlResults!$A$2:$A$148,$A6,Data_ControlResults!$D$2:$D$148,L$4),"")</f>
        <v>0.9872</v>
      </c>
      <c r="M6" s="19" t="n">
        <f aca="false">IFERROR(AVERAGEIFS(Data_ControlResults!$I$2:$I$148,Data_ControlResults!$A$2:$A$148,$A6,Data_ControlResults!$D$2:$D$148,M$4),"")</f>
        <v>0.9812</v>
      </c>
      <c r="N6" s="19" t="str">
        <f aca="false">IFERROR(AVERAGEIFS(Data_ControlResults!$I$2:$I$148,Data_ControlResults!$A$2:$A$148,$A6,Data_ControlResults!$D$2:$D$148,N$4),"")</f>
        <v/>
      </c>
    </row>
    <row r="7" customFormat="false" ht="15" hidden="false" customHeight="false" outlineLevel="0" collapsed="false">
      <c r="A7" s="17" t="s">
        <v>43</v>
      </c>
      <c r="B7" s="18" t="n">
        <f aca="false">IFERROR(AVERAGEIFS(Data_ControlResults!$I$2:$I$148,Data_ControlResults!$A$2:$A$148,$A7,Data_ControlResults!$D$2:$D$148,B$4),"")</f>
        <v>0.9386</v>
      </c>
      <c r="C7" s="18" t="n">
        <f aca="false">IFERROR(AVERAGEIFS(Data_ControlResults!$I$2:$I$148,Data_ControlResults!$A$2:$A$148,$A7,Data_ControlResults!$D$2:$D$148,C$4),"")</f>
        <v>0.9449</v>
      </c>
      <c r="D7" s="18" t="n">
        <f aca="false">IFERROR(AVERAGEIFS(Data_ControlResults!$I$2:$I$148,Data_ControlResults!$A$2:$A$148,$A7,Data_ControlResults!$D$2:$D$148,D$4),"")</f>
        <v>0.9471</v>
      </c>
      <c r="E7" s="18" t="n">
        <f aca="false">IFERROR(AVERAGEIFS(Data_ControlResults!$I$2:$I$148,Data_ControlResults!$A$2:$A$148,$A7,Data_ControlResults!$D$2:$D$148,E$4),"")</f>
        <v>0.9485</v>
      </c>
      <c r="F7" s="18" t="n">
        <f aca="false">IFERROR(AVERAGEIFS(Data_ControlResults!$I$2:$I$148,Data_ControlResults!$A$2:$A$148,$A7,Data_ControlResults!$D$2:$D$148,F$4),"")</f>
        <v>0.9333</v>
      </c>
      <c r="G7" s="18" t="n">
        <f aca="false">IFERROR(AVERAGEIFS(Data_ControlResults!$I$2:$I$148,Data_ControlResults!$A$2:$A$148,$A7,Data_ControlResults!$D$2:$D$148,G$4),"")</f>
        <v>0.9534</v>
      </c>
      <c r="H7" s="18" t="n">
        <f aca="false">IFERROR(AVERAGEIFS(Data_ControlResults!$I$2:$I$148,Data_ControlResults!$A$2:$A$148,$A7,Data_ControlResults!$D$2:$D$148,H$4),"")</f>
        <v>0.9429</v>
      </c>
      <c r="I7" s="18" t="n">
        <f aca="false">IFERROR(AVERAGEIFS(Data_ControlResults!$I$2:$I$148,Data_ControlResults!$A$2:$A$148,$A7,Data_ControlResults!$D$2:$D$148,I$4),"")</f>
        <v>0.949</v>
      </c>
      <c r="J7" s="18" t="n">
        <f aca="false">IFERROR(AVERAGEIFS(Data_ControlResults!$I$2:$I$148,Data_ControlResults!$A$2:$A$148,$A7,Data_ControlResults!$D$2:$D$148,J$4),"")</f>
        <v>0.9425</v>
      </c>
      <c r="K7" s="18" t="n">
        <f aca="false">IFERROR(AVERAGEIFS(Data_ControlResults!$I$2:$I$148,Data_ControlResults!$A$2:$A$148,$A7,Data_ControlResults!$D$2:$D$148,K$4),"")</f>
        <v>0.9439</v>
      </c>
      <c r="L7" s="18" t="n">
        <f aca="false">IFERROR(AVERAGEIFS(Data_ControlResults!$I$2:$I$148,Data_ControlResults!$A$2:$A$148,$A7,Data_ControlResults!$D$2:$D$148,L$4),"")</f>
        <v>0.9378</v>
      </c>
      <c r="M7" s="18" t="n">
        <f aca="false">IFERROR(AVERAGEIFS(Data_ControlResults!$I$2:$I$148,Data_ControlResults!$A$2:$A$148,$A7,Data_ControlResults!$D$2:$D$148,M$4),"")</f>
        <v>0.9545</v>
      </c>
      <c r="N7" s="18" t="str">
        <f aca="false">IFERROR(AVERAGEIFS(Data_ControlResults!$I$2:$I$148,Data_ControlResults!$A$2:$A$148,$A7,Data_ControlResults!$D$2:$D$148,N$4),"")</f>
        <v/>
      </c>
    </row>
    <row r="8" customFormat="false" ht="15" hidden="false" customHeight="false" outlineLevel="0" collapsed="false">
      <c r="A8" s="17" t="s">
        <v>44</v>
      </c>
      <c r="B8" s="19" t="n">
        <f aca="false">IFERROR(AVERAGEIFS(Data_ControlResults!$I$2:$I$148,Data_ControlResults!$A$2:$A$148,$A8,Data_ControlResults!$D$2:$D$148,B$4),"")</f>
        <v>0.9865</v>
      </c>
      <c r="C8" s="19" t="n">
        <f aca="false">IFERROR(AVERAGEIFS(Data_ControlResults!$I$2:$I$148,Data_ControlResults!$A$2:$A$148,$A8,Data_ControlResults!$D$2:$D$148,C$4),"")</f>
        <v>0.9731</v>
      </c>
      <c r="D8" s="19" t="n">
        <f aca="false">IFERROR(AVERAGEIFS(Data_ControlResults!$I$2:$I$148,Data_ControlResults!$A$2:$A$148,$A8,Data_ControlResults!$D$2:$D$148,D$4),"")</f>
        <v>0.9866</v>
      </c>
      <c r="E8" s="19" t="n">
        <f aca="false">IFERROR(AVERAGEIFS(Data_ControlResults!$I$2:$I$148,Data_ControlResults!$A$2:$A$148,$A8,Data_ControlResults!$D$2:$D$148,E$4),"")</f>
        <v>0.9797</v>
      </c>
      <c r="F8" s="19" t="n">
        <f aca="false">IFERROR(AVERAGEIFS(Data_ControlResults!$I$2:$I$148,Data_ControlResults!$A$2:$A$148,$A8,Data_ControlResults!$D$2:$D$148,F$4),"")</f>
        <v>0.9831</v>
      </c>
      <c r="G8" s="19" t="n">
        <f aca="false">IFERROR(AVERAGEIFS(Data_ControlResults!$I$2:$I$148,Data_ControlResults!$A$2:$A$148,$A8,Data_ControlResults!$D$2:$D$148,G$4),"")</f>
        <v>0.7625</v>
      </c>
      <c r="H8" s="19" t="n">
        <f aca="false">IFERROR(AVERAGEIFS(Data_ControlResults!$I$2:$I$148,Data_ControlResults!$A$2:$A$148,$A8,Data_ControlResults!$D$2:$D$148,H$4),"")</f>
        <v>0.9799</v>
      </c>
      <c r="I8" s="19" t="n">
        <f aca="false">IFERROR(AVERAGEIFS(Data_ControlResults!$I$2:$I$148,Data_ControlResults!$A$2:$A$148,$A8,Data_ControlResults!$D$2:$D$148,I$4),"")</f>
        <v>0.9899</v>
      </c>
      <c r="J8" s="19" t="n">
        <f aca="false">IFERROR(AVERAGEIFS(Data_ControlResults!$I$2:$I$148,Data_ControlResults!$A$2:$A$148,$A8,Data_ControlResults!$D$2:$D$148,J$4),"")</f>
        <v>0.9865</v>
      </c>
      <c r="K8" s="19" t="n">
        <f aca="false">IFERROR(AVERAGEIFS(Data_ControlResults!$I$2:$I$148,Data_ControlResults!$A$2:$A$148,$A8,Data_ControlResults!$D$2:$D$148,K$4),"")</f>
        <v>0.9832</v>
      </c>
      <c r="L8" s="19" t="n">
        <f aca="false">IFERROR(AVERAGEIFS(Data_ControlResults!$I$2:$I$148,Data_ControlResults!$A$2:$A$148,$A8,Data_ControlResults!$D$2:$D$148,L$4),"")</f>
        <v>0.9633</v>
      </c>
      <c r="M8" s="19" t="n">
        <f aca="false">IFERROR(AVERAGEIFS(Data_ControlResults!$I$2:$I$148,Data_ControlResults!$A$2:$A$148,$A8,Data_ControlResults!$D$2:$D$148,M$4),"")</f>
        <v>0.9833</v>
      </c>
      <c r="N8" s="19" t="str">
        <f aca="false">IFERROR(AVERAGEIFS(Data_ControlResults!$I$2:$I$148,Data_ControlResults!$A$2:$A$148,$A8,Data_ControlResults!$D$2:$D$148,N$4),"")</f>
        <v/>
      </c>
    </row>
    <row r="9" customFormat="false" ht="15" hidden="false" customHeight="false" outlineLevel="0" collapsed="false">
      <c r="A9" s="17" t="s">
        <v>45</v>
      </c>
      <c r="B9" s="18" t="n">
        <f aca="false">IFERROR(AVERAGEIFS(Data_ControlResults!$I$2:$I$148,Data_ControlResults!$A$2:$A$148,$A9,Data_ControlResults!$D$2:$D$148,B$4),"")</f>
        <v>0.9367</v>
      </c>
      <c r="C9" s="18" t="n">
        <f aca="false">IFERROR(AVERAGEIFS(Data_ControlResults!$I$2:$I$148,Data_ControlResults!$A$2:$A$148,$A9,Data_ControlResults!$D$2:$D$148,C$4),"")</f>
        <v>0.9667</v>
      </c>
      <c r="D9" s="18" t="n">
        <f aca="false">IFERROR(AVERAGEIFS(Data_ControlResults!$I$2:$I$148,Data_ControlResults!$A$2:$A$148,$A9,Data_ControlResults!$D$2:$D$148,D$4),"")</f>
        <v>0.97</v>
      </c>
      <c r="E9" s="18" t="n">
        <f aca="false">IFERROR(AVERAGEIFS(Data_ControlResults!$I$2:$I$148,Data_ControlResults!$A$2:$A$148,$A9,Data_ControlResults!$D$2:$D$148,E$4),"")</f>
        <v>0.9767</v>
      </c>
      <c r="F9" s="18" t="n">
        <f aca="false">IFERROR(AVERAGEIFS(Data_ControlResults!$I$2:$I$148,Data_ControlResults!$A$2:$A$148,$A9,Data_ControlResults!$D$2:$D$148,F$4),"")</f>
        <v>0.9733</v>
      </c>
      <c r="G9" s="18" t="n">
        <f aca="false">IFERROR(AVERAGEIFS(Data_ControlResults!$I$2:$I$148,Data_ControlResults!$A$2:$A$148,$A9,Data_ControlResults!$D$2:$D$148,G$4),"")</f>
        <v>0.9633</v>
      </c>
      <c r="H9" s="18" t="n">
        <f aca="false">IFERROR(AVERAGEIFS(Data_ControlResults!$I$2:$I$148,Data_ControlResults!$A$2:$A$148,$A9,Data_ControlResults!$D$2:$D$148,H$4),"")</f>
        <v>0.98</v>
      </c>
      <c r="I9" s="18" t="n">
        <f aca="false">IFERROR(AVERAGEIFS(Data_ControlResults!$I$2:$I$148,Data_ControlResults!$A$2:$A$148,$A9,Data_ControlResults!$D$2:$D$148,I$4),"")</f>
        <v>0.9467</v>
      </c>
      <c r="J9" s="18" t="n">
        <f aca="false">IFERROR(AVERAGEIFS(Data_ControlResults!$I$2:$I$148,Data_ControlResults!$A$2:$A$148,$A9,Data_ControlResults!$D$2:$D$148,J$4),"")</f>
        <v>0.9533</v>
      </c>
      <c r="K9" s="18" t="n">
        <f aca="false">IFERROR(AVERAGEIFS(Data_ControlResults!$I$2:$I$148,Data_ControlResults!$A$2:$A$148,$A9,Data_ControlResults!$D$2:$D$148,K$4),"")</f>
        <v>0.96</v>
      </c>
      <c r="L9" s="18" t="n">
        <f aca="false">IFERROR(AVERAGEIFS(Data_ControlResults!$I$2:$I$148,Data_ControlResults!$A$2:$A$148,$A9,Data_ControlResults!$D$2:$D$148,L$4),"")</f>
        <v>0.9533</v>
      </c>
      <c r="M9" s="18" t="n">
        <f aca="false">IFERROR(AVERAGEIFS(Data_ControlResults!$I$2:$I$148,Data_ControlResults!$A$2:$A$148,$A9,Data_ControlResults!$D$2:$D$148,M$4),"")</f>
        <v>0.96</v>
      </c>
      <c r="N9" s="18" t="str">
        <f aca="false">IFERROR(AVERAGEIFS(Data_ControlResults!$I$2:$I$148,Data_ControlResults!$A$2:$A$148,$A9,Data_ControlResults!$D$2:$D$148,N$4),"")</f>
        <v/>
      </c>
    </row>
    <row r="10" customFormat="false" ht="15" hidden="false" customHeight="false" outlineLevel="0" collapsed="false">
      <c r="A10" s="17" t="s">
        <v>46</v>
      </c>
      <c r="B10" s="19" t="n">
        <f aca="false">IFERROR(AVERAGEIFS(Data_ControlResults!$I$2:$I$148,Data_ControlResults!$A$2:$A$148,$A10,Data_ControlResults!$D$2:$D$148,B$4),"")</f>
        <v>1</v>
      </c>
      <c r="C10" s="19" t="n">
        <f aca="false">IFERROR(AVERAGEIFS(Data_ControlResults!$I$2:$I$148,Data_ControlResults!$A$2:$A$148,$A10,Data_ControlResults!$D$2:$D$148,C$4),"")</f>
        <v>0.9632</v>
      </c>
      <c r="D10" s="19" t="n">
        <f aca="false">IFERROR(AVERAGEIFS(Data_ControlResults!$I$2:$I$148,Data_ControlResults!$A$2:$A$148,$A10,Data_ControlResults!$D$2:$D$148,D$4),"")</f>
        <v>0.9463</v>
      </c>
      <c r="E10" s="19" t="n">
        <f aca="false">IFERROR(AVERAGEIFS(Data_ControlResults!$I$2:$I$148,Data_ControlResults!$A$2:$A$148,$A10,Data_ControlResults!$D$2:$D$148,E$4),"")</f>
        <v>0.986</v>
      </c>
      <c r="F10" s="19" t="n">
        <f aca="false">IFERROR(AVERAGEIFS(Data_ControlResults!$I$2:$I$148,Data_ControlResults!$A$2:$A$148,$A10,Data_ControlResults!$D$2:$D$148,F$4),"")</f>
        <v>0.9623</v>
      </c>
      <c r="G10" s="19" t="n">
        <f aca="false">IFERROR(AVERAGEIFS(Data_ControlResults!$I$2:$I$148,Data_ControlResults!$A$2:$A$148,$A10,Data_ControlResults!$D$2:$D$148,G$4),"")</f>
        <v>0.95</v>
      </c>
      <c r="H10" s="19" t="n">
        <f aca="false">IFERROR(AVERAGEIFS(Data_ControlResults!$I$2:$I$148,Data_ControlResults!$A$2:$A$148,$A10,Data_ControlResults!$D$2:$D$148,H$4),"")</f>
        <v>0.9536</v>
      </c>
      <c r="I10" s="19" t="n">
        <f aca="false">IFERROR(AVERAGEIFS(Data_ControlResults!$I$2:$I$148,Data_ControlResults!$A$2:$A$148,$A10,Data_ControlResults!$D$2:$D$148,I$4),"")</f>
        <v>0.9467</v>
      </c>
      <c r="J10" s="19" t="n">
        <f aca="false">IFERROR(AVERAGEIFS(Data_ControlResults!$I$2:$I$148,Data_ControlResults!$A$2:$A$148,$A10,Data_ControlResults!$D$2:$D$148,J$4),"")</f>
        <v>0.9161</v>
      </c>
      <c r="K10" s="19" t="n">
        <f aca="false">IFERROR(AVERAGEIFS(Data_ControlResults!$I$2:$I$148,Data_ControlResults!$A$2:$A$148,$A10,Data_ControlResults!$D$2:$D$148,K$4),"")</f>
        <v>0.9533</v>
      </c>
      <c r="L10" s="19" t="n">
        <f aca="false">IFERROR(AVERAGEIFS(Data_ControlResults!$I$2:$I$148,Data_ControlResults!$A$2:$A$148,$A10,Data_ControlResults!$D$2:$D$148,L$4),"")</f>
        <v>0.8514</v>
      </c>
      <c r="M10" s="19" t="n">
        <f aca="false">IFERROR(AVERAGEIFS(Data_ControlResults!$I$2:$I$148,Data_ControlResults!$A$2:$A$148,$A10,Data_ControlResults!$D$2:$D$148,M$4),"")</f>
        <v>0.8039</v>
      </c>
      <c r="N10" s="19" t="n">
        <f aca="false">IFERROR(AVERAGEIFS(Data_ControlResults!$I$2:$I$148,Data_ControlResults!$A$2:$A$148,$A10,Data_ControlResults!$D$2:$D$148,N$4),"")</f>
        <v>0.661</v>
      </c>
    </row>
    <row r="11" customFormat="false" ht="15" hidden="false" customHeight="false" outlineLevel="0" collapsed="false">
      <c r="A11" s="17" t="s">
        <v>47</v>
      </c>
      <c r="B11" s="18" t="n">
        <f aca="false">IFERROR(AVERAGEIFS(Data_ControlResults!$I$2:$I$148,Data_ControlResults!$A$2:$A$148,$A11,Data_ControlResults!$D$2:$D$148,B$4),"")</f>
        <v>1</v>
      </c>
      <c r="C11" s="18" t="n">
        <f aca="false">IFERROR(AVERAGEIFS(Data_ControlResults!$I$2:$I$148,Data_ControlResults!$A$2:$A$148,$A11,Data_ControlResults!$D$2:$D$148,C$4),"")</f>
        <v>0.9387</v>
      </c>
      <c r="D11" s="18" t="n">
        <f aca="false">IFERROR(AVERAGEIFS(Data_ControlResults!$I$2:$I$148,Data_ControlResults!$A$2:$A$148,$A11,Data_ControlResults!$D$2:$D$148,D$4),"")</f>
        <v>0.9664</v>
      </c>
      <c r="E11" s="18" t="n">
        <f aca="false">IFERROR(AVERAGEIFS(Data_ControlResults!$I$2:$I$148,Data_ControlResults!$A$2:$A$148,$A11,Data_ControlResults!$D$2:$D$148,E$4),"")</f>
        <v>0.951</v>
      </c>
      <c r="F11" s="18" t="n">
        <f aca="false">IFERROR(AVERAGEIFS(Data_ControlResults!$I$2:$I$148,Data_ControlResults!$A$2:$A$148,$A11,Data_ControlResults!$D$2:$D$148,F$4),"")</f>
        <v>0.9623</v>
      </c>
      <c r="G11" s="18" t="n">
        <f aca="false">IFERROR(AVERAGEIFS(Data_ControlResults!$I$2:$I$148,Data_ControlResults!$A$2:$A$148,$A11,Data_ControlResults!$D$2:$D$148,G$4),"")</f>
        <v>0.9714</v>
      </c>
      <c r="H11" s="18" t="n">
        <f aca="false">IFERROR(AVERAGEIFS(Data_ControlResults!$I$2:$I$148,Data_ControlResults!$A$2:$A$148,$A11,Data_ControlResults!$D$2:$D$148,H$4),"")</f>
        <v>0.947</v>
      </c>
      <c r="I11" s="18" t="n">
        <f aca="false">IFERROR(AVERAGEIFS(Data_ControlResults!$I$2:$I$148,Data_ControlResults!$A$2:$A$148,$A11,Data_ControlResults!$D$2:$D$148,I$4),"")</f>
        <v>0.98</v>
      </c>
      <c r="J11" s="18" t="n">
        <f aca="false">IFERROR(AVERAGEIFS(Data_ControlResults!$I$2:$I$148,Data_ControlResults!$A$2:$A$148,$A11,Data_ControlResults!$D$2:$D$148,J$4),"")</f>
        <v>0.9548</v>
      </c>
      <c r="K11" s="18" t="n">
        <f aca="false">IFERROR(AVERAGEIFS(Data_ControlResults!$I$2:$I$148,Data_ControlResults!$A$2:$A$148,$A11,Data_ControlResults!$D$2:$D$148,K$4),"")</f>
        <v>0.9533</v>
      </c>
      <c r="L11" s="18" t="n">
        <f aca="false">IFERROR(AVERAGEIFS(Data_ControlResults!$I$2:$I$148,Data_ControlResults!$A$2:$A$148,$A11,Data_ControlResults!$D$2:$D$148,L$4),"")</f>
        <v>0.9527</v>
      </c>
      <c r="M11" s="18" t="n">
        <f aca="false">IFERROR(AVERAGEIFS(Data_ControlResults!$I$2:$I$148,Data_ControlResults!$A$2:$A$148,$A11,Data_ControlResults!$D$2:$D$148,M$4),"")</f>
        <v>0.9542</v>
      </c>
      <c r="N11" s="18" t="n">
        <f aca="false">IFERROR(AVERAGEIFS(Data_ControlResults!$I$2:$I$148,Data_ControlResults!$A$2:$A$148,$A11,Data_ControlResults!$D$2:$D$148,N$4),"")</f>
        <v>0.9576</v>
      </c>
    </row>
    <row r="12" customFormat="false" ht="15" hidden="false" customHeight="false" outlineLevel="0" collapsed="false">
      <c r="A12" s="17" t="s">
        <v>48</v>
      </c>
      <c r="B12" s="19" t="n">
        <f aca="false">IFERROR(AVERAGEIFS(Data_ControlResults!$I$2:$I$148,Data_ControlResults!$A$2:$A$148,$A12,Data_ControlResults!$D$2:$D$148,B$4),"")</f>
        <v>0.9773</v>
      </c>
      <c r="C12" s="19" t="n">
        <f aca="false">IFERROR(AVERAGEIFS(Data_ControlResults!$I$2:$I$148,Data_ControlResults!$A$2:$A$148,$A12,Data_ControlResults!$D$2:$D$148,C$4),"")</f>
        <v>0.9891</v>
      </c>
      <c r="D12" s="19" t="n">
        <f aca="false">IFERROR(AVERAGEIFS(Data_ControlResults!$I$2:$I$148,Data_ControlResults!$A$2:$A$148,$A12,Data_ControlResults!$D$2:$D$148,D$4),"")</f>
        <v>0.985</v>
      </c>
      <c r="E12" s="19" t="n">
        <f aca="false">IFERROR(AVERAGEIFS(Data_ControlResults!$I$2:$I$148,Data_ControlResults!$A$2:$A$148,$A12,Data_ControlResults!$D$2:$D$148,E$4),"")</f>
        <v>0.9826</v>
      </c>
      <c r="F12" s="19" t="n">
        <f aca="false">IFERROR(AVERAGEIFS(Data_ControlResults!$I$2:$I$148,Data_ControlResults!$A$2:$A$148,$A12,Data_ControlResults!$D$2:$D$148,F$4),"")</f>
        <v>0.9795</v>
      </c>
      <c r="G12" s="19" t="n">
        <f aca="false">IFERROR(AVERAGEIFS(Data_ControlResults!$I$2:$I$148,Data_ControlResults!$A$2:$A$148,$A12,Data_ControlResults!$D$2:$D$148,G$4),"")</f>
        <v>0.985</v>
      </c>
      <c r="H12" s="19" t="n">
        <f aca="false">IFERROR(AVERAGEIFS(Data_ControlResults!$I$2:$I$148,Data_ControlResults!$A$2:$A$148,$A12,Data_ControlResults!$D$2:$D$148,H$4),"")</f>
        <v>0.975</v>
      </c>
      <c r="I12" s="19" t="n">
        <f aca="false">IFERROR(AVERAGEIFS(Data_ControlResults!$I$2:$I$148,Data_ControlResults!$A$2:$A$148,$A12,Data_ControlResults!$D$2:$D$148,I$4),"")</f>
        <v>0.9864</v>
      </c>
      <c r="J12" s="19" t="n">
        <f aca="false">IFERROR(AVERAGEIFS(Data_ControlResults!$I$2:$I$148,Data_ControlResults!$A$2:$A$148,$A12,Data_ControlResults!$D$2:$D$148,J$4),"")</f>
        <v>0.9762</v>
      </c>
      <c r="K12" s="19" t="n">
        <f aca="false">IFERROR(AVERAGEIFS(Data_ControlResults!$I$2:$I$148,Data_ControlResults!$A$2:$A$148,$A12,Data_ControlResults!$D$2:$D$148,K$4),"")</f>
        <v>0.9727</v>
      </c>
      <c r="L12" s="19" t="n">
        <f aca="false">IFERROR(AVERAGEIFS(Data_ControlResults!$I$2:$I$148,Data_ControlResults!$A$2:$A$148,$A12,Data_ControlResults!$D$2:$D$148,L$4),"")</f>
        <v>0.9783</v>
      </c>
      <c r="M12" s="19" t="n">
        <f aca="false">IFERROR(AVERAGEIFS(Data_ControlResults!$I$2:$I$148,Data_ControlResults!$A$2:$A$148,$A12,Data_ControlResults!$D$2:$D$148,M$4),"")</f>
        <v>0.9762</v>
      </c>
      <c r="N12" s="19" t="str">
        <f aca="false">IFERROR(AVERAGEIFS(Data_ControlResults!$I$2:$I$148,Data_ControlResults!$A$2:$A$148,$A12,Data_ControlResults!$D$2:$D$148,N$4),"")</f>
        <v/>
      </c>
    </row>
    <row r="13" customFormat="false" ht="15" hidden="false" customHeight="false" outlineLevel="0" collapsed="false">
      <c r="A13" s="17" t="s">
        <v>49</v>
      </c>
      <c r="B13" s="18" t="n">
        <f aca="false">IFERROR(AVERAGEIFS(Data_ControlResults!$I$2:$I$148,Data_ControlResults!$A$2:$A$148,$A13,Data_ControlResults!$D$2:$D$148,B$4),"")</f>
        <v>0.8</v>
      </c>
      <c r="C13" s="18" t="n">
        <f aca="false">IFERROR(AVERAGEIFS(Data_ControlResults!$I$2:$I$148,Data_ControlResults!$A$2:$A$148,$A13,Data_ControlResults!$D$2:$D$148,C$4),"")</f>
        <v>1</v>
      </c>
      <c r="D13" s="18" t="n">
        <f aca="false">IFERROR(AVERAGEIFS(Data_ControlResults!$I$2:$I$148,Data_ControlResults!$A$2:$A$148,$A13,Data_ControlResults!$D$2:$D$148,D$4),"")</f>
        <v>0.8333</v>
      </c>
      <c r="E13" s="18" t="n">
        <f aca="false">IFERROR(AVERAGEIFS(Data_ControlResults!$I$2:$I$148,Data_ControlResults!$A$2:$A$148,$A13,Data_ControlResults!$D$2:$D$148,E$4),"")</f>
        <v>1</v>
      </c>
      <c r="F13" s="18" t="n">
        <f aca="false">IFERROR(AVERAGEIFS(Data_ControlResults!$I$2:$I$148,Data_ControlResults!$A$2:$A$148,$A13,Data_ControlResults!$D$2:$D$148,F$4),"")</f>
        <v>1</v>
      </c>
      <c r="G13" s="18" t="n">
        <f aca="false">IFERROR(AVERAGEIFS(Data_ControlResults!$I$2:$I$148,Data_ControlResults!$A$2:$A$148,$A13,Data_ControlResults!$D$2:$D$148,G$4),"")</f>
        <v>0.6667</v>
      </c>
      <c r="H13" s="18" t="n">
        <f aca="false">IFERROR(AVERAGEIFS(Data_ControlResults!$I$2:$I$148,Data_ControlResults!$A$2:$A$148,$A13,Data_ControlResults!$D$2:$D$148,H$4),"")</f>
        <v>1</v>
      </c>
      <c r="I13" s="18" t="n">
        <f aca="false">IFERROR(AVERAGEIFS(Data_ControlResults!$I$2:$I$148,Data_ControlResults!$A$2:$A$148,$A13,Data_ControlResults!$D$2:$D$148,I$4),"")</f>
        <v>1</v>
      </c>
      <c r="J13" s="18" t="n">
        <f aca="false">IFERROR(AVERAGEIFS(Data_ControlResults!$I$2:$I$148,Data_ControlResults!$A$2:$A$148,$A13,Data_ControlResults!$D$2:$D$148,J$4),"")</f>
        <v>0.8</v>
      </c>
      <c r="K13" s="18" t="n">
        <f aca="false">IFERROR(AVERAGEIFS(Data_ControlResults!$I$2:$I$148,Data_ControlResults!$A$2:$A$148,$A13,Data_ControlResults!$D$2:$D$148,K$4),"")</f>
        <v>1</v>
      </c>
      <c r="L13" s="18" t="n">
        <f aca="false">IFERROR(AVERAGEIFS(Data_ControlResults!$I$2:$I$148,Data_ControlResults!$A$2:$A$148,$A13,Data_ControlResults!$D$2:$D$148,L$4),"")</f>
        <v>0.9</v>
      </c>
      <c r="M13" s="18" t="n">
        <f aca="false">IFERROR(AVERAGEIFS(Data_ControlResults!$I$2:$I$148,Data_ControlResults!$A$2:$A$148,$A13,Data_ControlResults!$D$2:$D$148,M$4),"")</f>
        <v>0.6</v>
      </c>
      <c r="N13" s="18" t="str">
        <f aca="false">IFERROR(AVERAGEIFS(Data_ControlResults!$I$2:$I$148,Data_ControlResults!$A$2:$A$148,$A13,Data_ControlResults!$D$2:$D$148,N$4),"")</f>
        <v/>
      </c>
    </row>
    <row r="14" customFormat="false" ht="15" hidden="false" customHeight="false" outlineLevel="0" collapsed="false">
      <c r="A14" s="17" t="s">
        <v>50</v>
      </c>
      <c r="B14" s="19" t="n">
        <f aca="false">IFERROR(AVERAGEIFS(Data_ControlResults!$I$2:$I$148,Data_ControlResults!$A$2:$A$148,$A14,Data_ControlResults!$D$2:$D$148,B$4),"")</f>
        <v>0.9459</v>
      </c>
      <c r="C14" s="19" t="n">
        <f aca="false">IFERROR(AVERAGEIFS(Data_ControlResults!$I$2:$I$148,Data_ControlResults!$A$2:$A$148,$A14,Data_ControlResults!$D$2:$D$148,C$4),"")</f>
        <v>0.9459</v>
      </c>
      <c r="D14" s="19" t="n">
        <f aca="false">IFERROR(AVERAGEIFS(Data_ControlResults!$I$2:$I$148,Data_ControlResults!$A$2:$A$148,$A14,Data_ControlResults!$D$2:$D$148,D$4),"")</f>
        <v>0.9701</v>
      </c>
      <c r="E14" s="19" t="n">
        <f aca="false">IFERROR(AVERAGEIFS(Data_ControlResults!$I$2:$I$148,Data_ControlResults!$A$2:$A$148,$A14,Data_ControlResults!$D$2:$D$148,E$4),"")</f>
        <v>0.961</v>
      </c>
      <c r="F14" s="19" t="n">
        <f aca="false">IFERROR(AVERAGEIFS(Data_ControlResults!$I$2:$I$148,Data_ControlResults!$A$2:$A$148,$A14,Data_ControlResults!$D$2:$D$148,F$4),"")</f>
        <v>0.9429</v>
      </c>
      <c r="G14" s="19" t="n">
        <f aca="false">IFERROR(AVERAGEIFS(Data_ControlResults!$I$2:$I$148,Data_ControlResults!$A$2:$A$148,$A14,Data_ControlResults!$D$2:$D$148,G$4),"")</f>
        <v>0.9531</v>
      </c>
      <c r="H14" s="19" t="n">
        <f aca="false">IFERROR(AVERAGEIFS(Data_ControlResults!$I$2:$I$148,Data_ControlResults!$A$2:$A$148,$A14,Data_ControlResults!$D$2:$D$148,H$4),"")</f>
        <v>0.9697</v>
      </c>
      <c r="I14" s="19" t="n">
        <f aca="false">IFERROR(AVERAGEIFS(Data_ControlResults!$I$2:$I$148,Data_ControlResults!$A$2:$A$148,$A14,Data_ControlResults!$D$2:$D$148,I$4),"")</f>
        <v>0.9268</v>
      </c>
      <c r="J14" s="19" t="n">
        <f aca="false">IFERROR(AVERAGEIFS(Data_ControlResults!$I$2:$I$148,Data_ControlResults!$A$2:$A$148,$A14,Data_ControlResults!$D$2:$D$148,J$4),"")</f>
        <v>0.9467</v>
      </c>
      <c r="K14" s="19" t="n">
        <f aca="false">IFERROR(AVERAGEIFS(Data_ControlResults!$I$2:$I$148,Data_ControlResults!$A$2:$A$148,$A14,Data_ControlResults!$D$2:$D$148,K$4),"")</f>
        <v>0.9506</v>
      </c>
      <c r="L14" s="19" t="n">
        <f aca="false">IFERROR(AVERAGEIFS(Data_ControlResults!$I$2:$I$148,Data_ControlResults!$A$2:$A$148,$A14,Data_ControlResults!$D$2:$D$148,L$4),"")</f>
        <v>0.9634</v>
      </c>
      <c r="M14" s="19" t="n">
        <f aca="false">IFERROR(AVERAGEIFS(Data_ControlResults!$I$2:$I$148,Data_ControlResults!$A$2:$A$148,$A14,Data_ControlResults!$D$2:$D$148,M$4),"")</f>
        <v>0.8889</v>
      </c>
      <c r="N14" s="19" t="str">
        <f aca="false">IFERROR(AVERAGEIFS(Data_ControlResults!$I$2:$I$148,Data_ControlResults!$A$2:$A$148,$A14,Data_ControlResults!$D$2:$D$148,N$4),"")</f>
        <v/>
      </c>
    </row>
    <row r="15" customFormat="false" ht="15" hidden="false" customHeight="false" outlineLevel="0" collapsed="false">
      <c r="A15" s="17" t="s">
        <v>51</v>
      </c>
      <c r="B15" s="18" t="n">
        <f aca="false">IFERROR(AVERAGEIFS(Data_ControlResults!$I$2:$I$148,Data_ControlResults!$A$2:$A$148,$A15,Data_ControlResults!$D$2:$D$148,B$4),"")</f>
        <v>0.9822</v>
      </c>
      <c r="C15" s="18" t="n">
        <f aca="false">IFERROR(AVERAGEIFS(Data_ControlResults!$I$2:$I$148,Data_ControlResults!$A$2:$A$148,$A15,Data_ControlResults!$D$2:$D$148,C$4),"")</f>
        <v>0.9777</v>
      </c>
      <c r="D15" s="18" t="n">
        <f aca="false">IFERROR(AVERAGEIFS(Data_ControlResults!$I$2:$I$148,Data_ControlResults!$A$2:$A$148,$A15,Data_ControlResults!$D$2:$D$148,D$4),"")</f>
        <v>0.9706</v>
      </c>
      <c r="E15" s="18" t="n">
        <f aca="false">IFERROR(AVERAGEIFS(Data_ControlResults!$I$2:$I$148,Data_ControlResults!$A$2:$A$148,$A15,Data_ControlResults!$D$2:$D$148,E$4),"")</f>
        <v>0.9884</v>
      </c>
      <c r="F15" s="18" t="n">
        <f aca="false">IFERROR(AVERAGEIFS(Data_ControlResults!$I$2:$I$148,Data_ControlResults!$A$2:$A$148,$A15,Data_ControlResults!$D$2:$D$148,F$4),"")</f>
        <v>0.9873</v>
      </c>
      <c r="G15" s="18" t="n">
        <f aca="false">IFERROR(AVERAGEIFS(Data_ControlResults!$I$2:$I$148,Data_ControlResults!$A$2:$A$148,$A15,Data_ControlResults!$D$2:$D$148,G$4),"")</f>
        <v>0.9862</v>
      </c>
      <c r="H15" s="18" t="n">
        <f aca="false">IFERROR(AVERAGEIFS(Data_ControlResults!$I$2:$I$148,Data_ControlResults!$A$2:$A$148,$A15,Data_ControlResults!$D$2:$D$148,H$4),"")</f>
        <v>0.9859</v>
      </c>
      <c r="I15" s="18" t="n">
        <f aca="false">IFERROR(AVERAGEIFS(Data_ControlResults!$I$2:$I$148,Data_ControlResults!$A$2:$A$148,$A15,Data_ControlResults!$D$2:$D$148,I$4),"")</f>
        <v>0.9815</v>
      </c>
      <c r="J15" s="18" t="n">
        <f aca="false">IFERROR(AVERAGEIFS(Data_ControlResults!$I$2:$I$148,Data_ControlResults!$A$2:$A$148,$A15,Data_ControlResults!$D$2:$D$148,J$4),"")</f>
        <v>0.9794</v>
      </c>
      <c r="K15" s="18" t="n">
        <f aca="false">IFERROR(AVERAGEIFS(Data_ControlResults!$I$2:$I$148,Data_ControlResults!$A$2:$A$148,$A15,Data_ControlResults!$D$2:$D$148,K$4),"")</f>
        <v>0.9846</v>
      </c>
      <c r="L15" s="18" t="n">
        <f aca="false">IFERROR(AVERAGEIFS(Data_ControlResults!$I$2:$I$148,Data_ControlResults!$A$2:$A$148,$A15,Data_ControlResults!$D$2:$D$148,L$4),"")</f>
        <v>0.991</v>
      </c>
      <c r="M15" s="18" t="n">
        <f aca="false">IFERROR(AVERAGEIFS(Data_ControlResults!$I$2:$I$148,Data_ControlResults!$A$2:$A$148,$A15,Data_ControlResults!$D$2:$D$148,M$4),"")</f>
        <v>0.9829</v>
      </c>
      <c r="N15" s="18" t="str">
        <f aca="false">IFERROR(AVERAGEIFS(Data_ControlResults!$I$2:$I$148,Data_ControlResults!$A$2:$A$148,$A15,Data_ControlResults!$D$2:$D$148,N$4),"")</f>
        <v/>
      </c>
    </row>
    <row r="16" customFormat="false" ht="15" hidden="false" customHeight="false" outlineLevel="0" collapsed="false">
      <c r="A16" s="17" t="s">
        <v>52</v>
      </c>
      <c r="B16" s="19" t="str">
        <f aca="false">IFERROR(AVERAGEIFS(Data_ControlResults!$I$2:$I$148,Data_ControlResults!$A$2:$A$148,$A16,Data_ControlResults!$D$2:$D$148,B$4),"")</f>
        <v/>
      </c>
      <c r="C16" s="19" t="str">
        <f aca="false">IFERROR(AVERAGEIFS(Data_ControlResults!$I$2:$I$148,Data_ControlResults!$A$2:$A$148,$A16,Data_ControlResults!$D$2:$D$148,C$4),"")</f>
        <v/>
      </c>
      <c r="D16" s="19" t="str">
        <f aca="false">IFERROR(AVERAGEIFS(Data_ControlResults!$I$2:$I$148,Data_ControlResults!$A$2:$A$148,$A16,Data_ControlResults!$D$2:$D$148,D$4),"")</f>
        <v/>
      </c>
      <c r="E16" s="19" t="str">
        <f aca="false">IFERROR(AVERAGEIFS(Data_ControlResults!$I$2:$I$148,Data_ControlResults!$A$2:$A$148,$A16,Data_ControlResults!$D$2:$D$148,E$4),"")</f>
        <v/>
      </c>
      <c r="F16" s="19" t="str">
        <f aca="false">IFERROR(AVERAGEIFS(Data_ControlResults!$I$2:$I$148,Data_ControlResults!$A$2:$A$148,$A16,Data_ControlResults!$D$2:$D$148,F$4),"")</f>
        <v/>
      </c>
      <c r="G16" s="19" t="str">
        <f aca="false">IFERROR(AVERAGEIFS(Data_ControlResults!$I$2:$I$148,Data_ControlResults!$A$2:$A$148,$A16,Data_ControlResults!$D$2:$D$148,G$4),"")</f>
        <v/>
      </c>
      <c r="H16" s="19" t="str">
        <f aca="false">IFERROR(AVERAGEIFS(Data_ControlResults!$I$2:$I$148,Data_ControlResults!$A$2:$A$148,$A16,Data_ControlResults!$D$2:$D$148,H$4),"")</f>
        <v/>
      </c>
      <c r="I16" s="19" t="str">
        <f aca="false">IFERROR(AVERAGEIFS(Data_ControlResults!$I$2:$I$148,Data_ControlResults!$A$2:$A$148,$A16,Data_ControlResults!$D$2:$D$148,I$4),"")</f>
        <v/>
      </c>
      <c r="J16" s="19" t="str">
        <f aca="false">IFERROR(AVERAGEIFS(Data_ControlResults!$I$2:$I$148,Data_ControlResults!$A$2:$A$148,$A16,Data_ControlResults!$D$2:$D$148,J$4),"")</f>
        <v/>
      </c>
      <c r="K16" s="19" t="str">
        <f aca="false">IFERROR(AVERAGEIFS(Data_ControlResults!$I$2:$I$148,Data_ControlResults!$A$2:$A$148,$A16,Data_ControlResults!$D$2:$D$148,K$4),"")</f>
        <v/>
      </c>
      <c r="L16" s="19" t="str">
        <f aca="false">IFERROR(AVERAGEIFS(Data_ControlResults!$I$2:$I$148,Data_ControlResults!$A$2:$A$148,$A16,Data_ControlResults!$D$2:$D$148,L$4),"")</f>
        <v/>
      </c>
      <c r="M16" s="19" t="n">
        <f aca="false">IFERROR(AVERAGEIFS(Data_ControlResults!$I$2:$I$148,Data_ControlResults!$A$2:$A$148,$A16,Data_ControlResults!$D$2:$D$148,M$4),"")</f>
        <v>0.9422</v>
      </c>
      <c r="N16" s="19" t="str">
        <f aca="false">IFERROR(AVERAGEIFS(Data_ControlResults!$I$2:$I$148,Data_ControlResults!$A$2:$A$148,$A16,Data_ControlResults!$D$2:$D$148,N$4),"")</f>
        <v/>
      </c>
    </row>
    <row r="17" customFormat="false" ht="15" hidden="false" customHeight="false" outlineLevel="0" collapsed="false">
      <c r="A17" s="17" t="s">
        <v>53</v>
      </c>
      <c r="B17" s="18" t="n">
        <f aca="false">IFERROR(AVERAGEIFS(Data_ControlResults!$I$2:$I$148,Data_ControlResults!$A$2:$A$148,$A17,Data_ControlResults!$D$2:$D$148,B$4),"")</f>
        <v>1</v>
      </c>
      <c r="C17" s="18" t="n">
        <f aca="false">IFERROR(AVERAGEIFS(Data_ControlResults!$I$2:$I$148,Data_ControlResults!$A$2:$A$148,$A17,Data_ControlResults!$D$2:$D$148,C$4),"")</f>
        <v>0.8889</v>
      </c>
      <c r="D17" s="18" t="n">
        <f aca="false">IFERROR(AVERAGEIFS(Data_ControlResults!$I$2:$I$148,Data_ControlResults!$A$2:$A$148,$A17,Data_ControlResults!$D$2:$D$148,D$4),"")</f>
        <v>1</v>
      </c>
      <c r="E17" s="18" t="n">
        <f aca="false">IFERROR(AVERAGEIFS(Data_ControlResults!$I$2:$I$148,Data_ControlResults!$A$2:$A$148,$A17,Data_ControlResults!$D$2:$D$148,E$4),"")</f>
        <v>0.9524</v>
      </c>
      <c r="F17" s="18" t="n">
        <f aca="false">IFERROR(AVERAGEIFS(Data_ControlResults!$I$2:$I$148,Data_ControlResults!$A$2:$A$148,$A17,Data_ControlResults!$D$2:$D$148,F$4),"")</f>
        <v>0.9231</v>
      </c>
      <c r="G17" s="18" t="n">
        <f aca="false">IFERROR(AVERAGEIFS(Data_ControlResults!$I$2:$I$148,Data_ControlResults!$A$2:$A$148,$A17,Data_ControlResults!$D$2:$D$148,G$4),"")</f>
        <v>0.8182</v>
      </c>
      <c r="H17" s="18" t="n">
        <f aca="false">IFERROR(AVERAGEIFS(Data_ControlResults!$I$2:$I$148,Data_ControlResults!$A$2:$A$148,$A17,Data_ControlResults!$D$2:$D$148,H$4),"")</f>
        <v>0.8333</v>
      </c>
      <c r="I17" s="18" t="n">
        <f aca="false">IFERROR(AVERAGEIFS(Data_ControlResults!$I$2:$I$148,Data_ControlResults!$A$2:$A$148,$A17,Data_ControlResults!$D$2:$D$148,I$4),"")</f>
        <v>0.9286</v>
      </c>
      <c r="J17" s="18" t="n">
        <f aca="false">IFERROR(AVERAGEIFS(Data_ControlResults!$I$2:$I$148,Data_ControlResults!$A$2:$A$148,$A17,Data_ControlResults!$D$2:$D$148,J$4),"")</f>
        <v>1</v>
      </c>
      <c r="K17" s="18" t="n">
        <f aca="false">IFERROR(AVERAGEIFS(Data_ControlResults!$I$2:$I$148,Data_ControlResults!$A$2:$A$148,$A17,Data_ControlResults!$D$2:$D$148,K$4),"")</f>
        <v>0.9</v>
      </c>
      <c r="L17" s="18" t="n">
        <f aca="false">IFERROR(AVERAGEIFS(Data_ControlResults!$I$2:$I$148,Data_ControlResults!$A$2:$A$148,$A17,Data_ControlResults!$D$2:$D$148,L$4),"")</f>
        <v>1</v>
      </c>
      <c r="M17" s="18" t="n">
        <f aca="false">IFERROR(AVERAGEIFS(Data_ControlResults!$I$2:$I$148,Data_ControlResults!$A$2:$A$148,$A17,Data_ControlResults!$D$2:$D$148,M$4),"")</f>
        <v>1</v>
      </c>
      <c r="N17" s="18" t="str">
        <f aca="false">IFERROR(AVERAGEIFS(Data_ControlResults!$I$2:$I$148,Data_ControlResults!$A$2:$A$148,$A17,Data_ControlResults!$D$2:$D$148,N$4),"")</f>
        <v/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A1:K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27.75" hidden="false" customHeight="true" outlineLevel="0" collapsed="false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75</v>
      </c>
      <c r="H1" s="8" t="s">
        <v>76</v>
      </c>
      <c r="I1" s="8" t="s">
        <v>77</v>
      </c>
      <c r="J1" s="8" t="s">
        <v>78</v>
      </c>
      <c r="K1" s="8" t="s">
        <v>79</v>
      </c>
    </row>
    <row r="2" customFormat="false" ht="15" hidden="false" customHeight="false" outlineLevel="0" collapsed="false">
      <c r="A2" s="9" t="s">
        <v>50</v>
      </c>
      <c r="B2" s="9" t="s">
        <v>80</v>
      </c>
      <c r="C2" s="9" t="s">
        <v>81</v>
      </c>
      <c r="D2" s="9" t="s">
        <v>56</v>
      </c>
      <c r="E2" s="9" t="n">
        <v>74</v>
      </c>
      <c r="F2" s="9" t="n">
        <v>70</v>
      </c>
      <c r="G2" s="9" t="n">
        <v>4</v>
      </c>
      <c r="H2" s="9" t="n">
        <v>0</v>
      </c>
      <c r="I2" s="18" t="n">
        <v>0.9459</v>
      </c>
      <c r="J2" s="18" t="n">
        <v>0.99</v>
      </c>
      <c r="K2" s="9" t="s">
        <v>82</v>
      </c>
    </row>
    <row r="3" customFormat="false" ht="15" hidden="false" customHeight="false" outlineLevel="0" collapsed="false">
      <c r="A3" s="9" t="s">
        <v>50</v>
      </c>
      <c r="B3" s="9" t="s">
        <v>80</v>
      </c>
      <c r="C3" s="9" t="s">
        <v>81</v>
      </c>
      <c r="D3" s="9" t="s">
        <v>57</v>
      </c>
      <c r="E3" s="9" t="n">
        <v>74</v>
      </c>
      <c r="F3" s="9" t="n">
        <v>70</v>
      </c>
      <c r="G3" s="9" t="n">
        <v>4</v>
      </c>
      <c r="H3" s="9" t="n">
        <v>0</v>
      </c>
      <c r="I3" s="18" t="n">
        <v>0.9459</v>
      </c>
      <c r="J3" s="18" t="n">
        <v>0.99</v>
      </c>
      <c r="K3" s="9" t="s">
        <v>82</v>
      </c>
    </row>
    <row r="4" customFormat="false" ht="15" hidden="false" customHeight="false" outlineLevel="0" collapsed="false">
      <c r="A4" s="9" t="s">
        <v>50</v>
      </c>
      <c r="B4" s="9" t="s">
        <v>80</v>
      </c>
      <c r="C4" s="9" t="s">
        <v>81</v>
      </c>
      <c r="D4" s="9" t="s">
        <v>58</v>
      </c>
      <c r="E4" s="9" t="n">
        <v>67</v>
      </c>
      <c r="F4" s="9" t="n">
        <v>65</v>
      </c>
      <c r="G4" s="9" t="n">
        <v>2</v>
      </c>
      <c r="H4" s="9" t="n">
        <v>0</v>
      </c>
      <c r="I4" s="18" t="n">
        <v>0.9701</v>
      </c>
      <c r="J4" s="18" t="n">
        <v>0.99</v>
      </c>
      <c r="K4" s="9" t="s">
        <v>83</v>
      </c>
    </row>
    <row r="5" customFormat="false" ht="15" hidden="false" customHeight="false" outlineLevel="0" collapsed="false">
      <c r="A5" s="9" t="s">
        <v>50</v>
      </c>
      <c r="B5" s="9" t="s">
        <v>80</v>
      </c>
      <c r="C5" s="9" t="s">
        <v>81</v>
      </c>
      <c r="D5" s="9" t="s">
        <v>59</v>
      </c>
      <c r="E5" s="9" t="n">
        <v>77</v>
      </c>
      <c r="F5" s="9" t="n">
        <v>74</v>
      </c>
      <c r="G5" s="9" t="n">
        <v>3</v>
      </c>
      <c r="H5" s="9" t="n">
        <v>0</v>
      </c>
      <c r="I5" s="18" t="n">
        <v>0.961</v>
      </c>
      <c r="J5" s="18" t="n">
        <v>0.99</v>
      </c>
      <c r="K5" s="9" t="s">
        <v>83</v>
      </c>
    </row>
    <row r="6" customFormat="false" ht="15" hidden="false" customHeight="false" outlineLevel="0" collapsed="false">
      <c r="A6" s="9" t="s">
        <v>50</v>
      </c>
      <c r="B6" s="9" t="s">
        <v>80</v>
      </c>
      <c r="C6" s="9" t="s">
        <v>81</v>
      </c>
      <c r="D6" s="9" t="s">
        <v>60</v>
      </c>
      <c r="E6" s="9" t="n">
        <v>70</v>
      </c>
      <c r="F6" s="9" t="n">
        <v>66</v>
      </c>
      <c r="G6" s="9" t="n">
        <v>4</v>
      </c>
      <c r="H6" s="9" t="n">
        <v>0</v>
      </c>
      <c r="I6" s="18" t="n">
        <v>0.9429</v>
      </c>
      <c r="J6" s="18" t="n">
        <v>0.99</v>
      </c>
      <c r="K6" s="9" t="s">
        <v>82</v>
      </c>
    </row>
    <row r="7" customFormat="false" ht="15" hidden="false" customHeight="false" outlineLevel="0" collapsed="false">
      <c r="A7" s="9" t="s">
        <v>50</v>
      </c>
      <c r="B7" s="9" t="s">
        <v>80</v>
      </c>
      <c r="C7" s="9" t="s">
        <v>81</v>
      </c>
      <c r="D7" s="9" t="s">
        <v>61</v>
      </c>
      <c r="E7" s="9" t="n">
        <v>64</v>
      </c>
      <c r="F7" s="9" t="n">
        <v>61</v>
      </c>
      <c r="G7" s="9" t="n">
        <v>3</v>
      </c>
      <c r="H7" s="9" t="n">
        <v>0</v>
      </c>
      <c r="I7" s="18" t="n">
        <v>0.9531</v>
      </c>
      <c r="J7" s="18" t="n">
        <v>0.99</v>
      </c>
      <c r="K7" s="9" t="s">
        <v>82</v>
      </c>
    </row>
    <row r="8" customFormat="false" ht="15" hidden="false" customHeight="false" outlineLevel="0" collapsed="false">
      <c r="A8" s="9" t="s">
        <v>50</v>
      </c>
      <c r="B8" s="9" t="s">
        <v>80</v>
      </c>
      <c r="C8" s="9" t="s">
        <v>81</v>
      </c>
      <c r="D8" s="9" t="s">
        <v>62</v>
      </c>
      <c r="E8" s="9" t="n">
        <v>66</v>
      </c>
      <c r="F8" s="9" t="n">
        <v>64</v>
      </c>
      <c r="G8" s="9" t="n">
        <v>2</v>
      </c>
      <c r="H8" s="9" t="n">
        <v>0</v>
      </c>
      <c r="I8" s="18" t="n">
        <v>0.9697</v>
      </c>
      <c r="J8" s="18" t="n">
        <v>0.99</v>
      </c>
      <c r="K8" s="9" t="s">
        <v>83</v>
      </c>
    </row>
    <row r="9" customFormat="false" ht="15" hidden="false" customHeight="false" outlineLevel="0" collapsed="false">
      <c r="A9" s="9" t="s">
        <v>50</v>
      </c>
      <c r="B9" s="9" t="s">
        <v>80</v>
      </c>
      <c r="C9" s="9" t="s">
        <v>81</v>
      </c>
      <c r="D9" s="9" t="s">
        <v>63</v>
      </c>
      <c r="E9" s="9" t="n">
        <v>82</v>
      </c>
      <c r="F9" s="9" t="n">
        <v>76</v>
      </c>
      <c r="G9" s="9" t="n">
        <v>6</v>
      </c>
      <c r="H9" s="9" t="n">
        <v>0</v>
      </c>
      <c r="I9" s="18" t="n">
        <v>0.9268</v>
      </c>
      <c r="J9" s="18" t="n">
        <v>0.99</v>
      </c>
      <c r="K9" s="9" t="s">
        <v>82</v>
      </c>
    </row>
    <row r="10" customFormat="false" ht="15" hidden="false" customHeight="false" outlineLevel="0" collapsed="false">
      <c r="A10" s="9" t="s">
        <v>50</v>
      </c>
      <c r="B10" s="9" t="s">
        <v>80</v>
      </c>
      <c r="C10" s="9" t="s">
        <v>81</v>
      </c>
      <c r="D10" s="9" t="s">
        <v>64</v>
      </c>
      <c r="E10" s="9" t="n">
        <v>75</v>
      </c>
      <c r="F10" s="9" t="n">
        <v>71</v>
      </c>
      <c r="G10" s="9" t="n">
        <v>4</v>
      </c>
      <c r="H10" s="9" t="n">
        <v>0</v>
      </c>
      <c r="I10" s="18" t="n">
        <v>0.9467</v>
      </c>
      <c r="J10" s="18" t="n">
        <v>0.99</v>
      </c>
      <c r="K10" s="9" t="s">
        <v>82</v>
      </c>
    </row>
    <row r="11" customFormat="false" ht="15" hidden="false" customHeight="false" outlineLevel="0" collapsed="false">
      <c r="A11" s="9" t="s">
        <v>50</v>
      </c>
      <c r="B11" s="9" t="s">
        <v>80</v>
      </c>
      <c r="C11" s="9" t="s">
        <v>81</v>
      </c>
      <c r="D11" s="9" t="s">
        <v>65</v>
      </c>
      <c r="E11" s="9" t="n">
        <v>81</v>
      </c>
      <c r="F11" s="9" t="n">
        <v>77</v>
      </c>
      <c r="G11" s="9" t="n">
        <v>4</v>
      </c>
      <c r="H11" s="9" t="n">
        <v>0</v>
      </c>
      <c r="I11" s="18" t="n">
        <v>0.9506</v>
      </c>
      <c r="J11" s="18" t="n">
        <v>0.99</v>
      </c>
      <c r="K11" s="9" t="s">
        <v>82</v>
      </c>
    </row>
    <row r="12" customFormat="false" ht="15" hidden="false" customHeight="false" outlineLevel="0" collapsed="false">
      <c r="A12" s="9" t="s">
        <v>50</v>
      </c>
      <c r="B12" s="9" t="s">
        <v>80</v>
      </c>
      <c r="C12" s="9" t="s">
        <v>81</v>
      </c>
      <c r="D12" s="9" t="s">
        <v>66</v>
      </c>
      <c r="E12" s="9" t="n">
        <v>82</v>
      </c>
      <c r="F12" s="9" t="n">
        <v>79</v>
      </c>
      <c r="G12" s="9" t="n">
        <v>3</v>
      </c>
      <c r="H12" s="9" t="n">
        <v>0</v>
      </c>
      <c r="I12" s="18" t="n">
        <v>0.9634</v>
      </c>
      <c r="J12" s="18" t="n">
        <v>0.99</v>
      </c>
      <c r="K12" s="9" t="s">
        <v>83</v>
      </c>
    </row>
    <row r="13" customFormat="false" ht="15" hidden="false" customHeight="false" outlineLevel="0" collapsed="false">
      <c r="A13" s="9" t="s">
        <v>50</v>
      </c>
      <c r="B13" s="9" t="s">
        <v>80</v>
      </c>
      <c r="C13" s="9" t="s">
        <v>81</v>
      </c>
      <c r="D13" s="9" t="s">
        <v>67</v>
      </c>
      <c r="E13" s="9" t="n">
        <v>54</v>
      </c>
      <c r="F13" s="9" t="n">
        <v>48</v>
      </c>
      <c r="G13" s="9" t="n">
        <v>6</v>
      </c>
      <c r="H13" s="9" t="n">
        <v>0</v>
      </c>
      <c r="I13" s="18" t="n">
        <v>0.8889</v>
      </c>
      <c r="J13" s="18" t="n">
        <v>0.99</v>
      </c>
      <c r="K13" s="9" t="s">
        <v>82</v>
      </c>
    </row>
    <row r="14" customFormat="false" ht="15" hidden="false" customHeight="false" outlineLevel="0" collapsed="false">
      <c r="A14" s="9" t="s">
        <v>51</v>
      </c>
      <c r="B14" s="9" t="s">
        <v>84</v>
      </c>
      <c r="C14" s="9" t="s">
        <v>81</v>
      </c>
      <c r="D14" s="9" t="s">
        <v>56</v>
      </c>
      <c r="E14" s="9" t="n">
        <v>337</v>
      </c>
      <c r="F14" s="9" t="n">
        <v>331</v>
      </c>
      <c r="G14" s="9" t="n">
        <v>6</v>
      </c>
      <c r="H14" s="9" t="n">
        <v>0</v>
      </c>
      <c r="I14" s="18" t="n">
        <v>0.9822</v>
      </c>
      <c r="J14" s="18" t="n">
        <v>0.98</v>
      </c>
      <c r="K14" s="9" t="s">
        <v>85</v>
      </c>
    </row>
    <row r="15" customFormat="false" ht="15" hidden="false" customHeight="false" outlineLevel="0" collapsed="false">
      <c r="A15" s="9" t="s">
        <v>51</v>
      </c>
      <c r="B15" s="9" t="s">
        <v>84</v>
      </c>
      <c r="C15" s="9" t="s">
        <v>81</v>
      </c>
      <c r="D15" s="9" t="s">
        <v>57</v>
      </c>
      <c r="E15" s="9" t="n">
        <v>359</v>
      </c>
      <c r="F15" s="9" t="n">
        <v>351</v>
      </c>
      <c r="G15" s="9" t="n">
        <v>8</v>
      </c>
      <c r="H15" s="9" t="n">
        <v>0</v>
      </c>
      <c r="I15" s="18" t="n">
        <v>0.9777</v>
      </c>
      <c r="J15" s="18" t="n">
        <v>0.98</v>
      </c>
      <c r="K15" s="9" t="s">
        <v>83</v>
      </c>
    </row>
    <row r="16" customFormat="false" ht="15" hidden="false" customHeight="false" outlineLevel="0" collapsed="false">
      <c r="A16" s="9" t="s">
        <v>51</v>
      </c>
      <c r="B16" s="9" t="s">
        <v>84</v>
      </c>
      <c r="C16" s="9" t="s">
        <v>81</v>
      </c>
      <c r="D16" s="9" t="s">
        <v>58</v>
      </c>
      <c r="E16" s="9" t="n">
        <v>306</v>
      </c>
      <c r="F16" s="9" t="n">
        <v>297</v>
      </c>
      <c r="G16" s="9" t="n">
        <v>9</v>
      </c>
      <c r="H16" s="9" t="n">
        <v>0</v>
      </c>
      <c r="I16" s="18" t="n">
        <v>0.9706</v>
      </c>
      <c r="J16" s="18" t="n">
        <v>0.98</v>
      </c>
      <c r="K16" s="9" t="s">
        <v>83</v>
      </c>
    </row>
    <row r="17" customFormat="false" ht="15" hidden="false" customHeight="false" outlineLevel="0" collapsed="false">
      <c r="A17" s="9" t="s">
        <v>51</v>
      </c>
      <c r="B17" s="9" t="s">
        <v>84</v>
      </c>
      <c r="C17" s="9" t="s">
        <v>81</v>
      </c>
      <c r="D17" s="9" t="s">
        <v>59</v>
      </c>
      <c r="E17" s="9" t="n">
        <v>344</v>
      </c>
      <c r="F17" s="9" t="n">
        <v>340</v>
      </c>
      <c r="G17" s="9" t="n">
        <v>4</v>
      </c>
      <c r="H17" s="9" t="n">
        <v>0</v>
      </c>
      <c r="I17" s="18" t="n">
        <v>0.9884</v>
      </c>
      <c r="J17" s="18" t="n">
        <v>0.98</v>
      </c>
      <c r="K17" s="9" t="s">
        <v>85</v>
      </c>
    </row>
    <row r="18" customFormat="false" ht="15" hidden="false" customHeight="false" outlineLevel="0" collapsed="false">
      <c r="A18" s="9" t="s">
        <v>51</v>
      </c>
      <c r="B18" s="9" t="s">
        <v>84</v>
      </c>
      <c r="C18" s="9" t="s">
        <v>81</v>
      </c>
      <c r="D18" s="9" t="s">
        <v>60</v>
      </c>
      <c r="E18" s="9" t="n">
        <v>314</v>
      </c>
      <c r="F18" s="9" t="n">
        <v>310</v>
      </c>
      <c r="G18" s="9" t="n">
        <v>4</v>
      </c>
      <c r="H18" s="9" t="n">
        <v>0</v>
      </c>
      <c r="I18" s="18" t="n">
        <v>0.9873</v>
      </c>
      <c r="J18" s="18" t="n">
        <v>0.98</v>
      </c>
      <c r="K18" s="9" t="s">
        <v>85</v>
      </c>
    </row>
    <row r="19" customFormat="false" ht="15" hidden="false" customHeight="false" outlineLevel="0" collapsed="false">
      <c r="A19" s="9" t="s">
        <v>51</v>
      </c>
      <c r="B19" s="9" t="s">
        <v>84</v>
      </c>
      <c r="C19" s="9" t="s">
        <v>81</v>
      </c>
      <c r="D19" s="9" t="s">
        <v>61</v>
      </c>
      <c r="E19" s="9" t="n">
        <v>290</v>
      </c>
      <c r="F19" s="9" t="n">
        <v>286</v>
      </c>
      <c r="G19" s="9" t="n">
        <v>4</v>
      </c>
      <c r="H19" s="9" t="n">
        <v>0</v>
      </c>
      <c r="I19" s="18" t="n">
        <v>0.9862</v>
      </c>
      <c r="J19" s="18" t="n">
        <v>0.98</v>
      </c>
      <c r="K19" s="9" t="s">
        <v>85</v>
      </c>
    </row>
    <row r="20" customFormat="false" ht="15" hidden="false" customHeight="false" outlineLevel="0" collapsed="false">
      <c r="A20" s="9" t="s">
        <v>51</v>
      </c>
      <c r="B20" s="9" t="s">
        <v>84</v>
      </c>
      <c r="C20" s="9" t="s">
        <v>81</v>
      </c>
      <c r="D20" s="9" t="s">
        <v>62</v>
      </c>
      <c r="E20" s="9" t="n">
        <v>355</v>
      </c>
      <c r="F20" s="9" t="n">
        <v>350</v>
      </c>
      <c r="G20" s="9" t="n">
        <v>5</v>
      </c>
      <c r="H20" s="9" t="n">
        <v>0</v>
      </c>
      <c r="I20" s="18" t="n">
        <v>0.9859</v>
      </c>
      <c r="J20" s="18" t="n">
        <v>0.98</v>
      </c>
      <c r="K20" s="9" t="s">
        <v>85</v>
      </c>
    </row>
    <row r="21" customFormat="false" ht="15" hidden="false" customHeight="false" outlineLevel="0" collapsed="false">
      <c r="A21" s="9" t="s">
        <v>51</v>
      </c>
      <c r="B21" s="9" t="s">
        <v>84</v>
      </c>
      <c r="C21" s="9" t="s">
        <v>81</v>
      </c>
      <c r="D21" s="9" t="s">
        <v>63</v>
      </c>
      <c r="E21" s="9" t="n">
        <v>325</v>
      </c>
      <c r="F21" s="9" t="n">
        <v>319</v>
      </c>
      <c r="G21" s="9" t="n">
        <v>6</v>
      </c>
      <c r="H21" s="9" t="n">
        <v>0</v>
      </c>
      <c r="I21" s="18" t="n">
        <v>0.9815</v>
      </c>
      <c r="J21" s="18" t="n">
        <v>0.98</v>
      </c>
      <c r="K21" s="9" t="s">
        <v>85</v>
      </c>
    </row>
    <row r="22" customFormat="false" ht="15" hidden="false" customHeight="false" outlineLevel="0" collapsed="false">
      <c r="A22" s="9" t="s">
        <v>51</v>
      </c>
      <c r="B22" s="9" t="s">
        <v>84</v>
      </c>
      <c r="C22" s="9" t="s">
        <v>81</v>
      </c>
      <c r="D22" s="9" t="s">
        <v>64</v>
      </c>
      <c r="E22" s="9" t="n">
        <v>291</v>
      </c>
      <c r="F22" s="9" t="n">
        <v>285</v>
      </c>
      <c r="G22" s="9" t="n">
        <v>6</v>
      </c>
      <c r="H22" s="9" t="n">
        <v>0</v>
      </c>
      <c r="I22" s="18" t="n">
        <v>0.9794</v>
      </c>
      <c r="J22" s="18" t="n">
        <v>0.98</v>
      </c>
      <c r="K22" s="9" t="s">
        <v>83</v>
      </c>
    </row>
    <row r="23" customFormat="false" ht="15" hidden="false" customHeight="false" outlineLevel="0" collapsed="false">
      <c r="A23" s="9" t="s">
        <v>51</v>
      </c>
      <c r="B23" s="9" t="s">
        <v>84</v>
      </c>
      <c r="C23" s="9" t="s">
        <v>81</v>
      </c>
      <c r="D23" s="9" t="s">
        <v>65</v>
      </c>
      <c r="E23" s="9" t="n">
        <v>325</v>
      </c>
      <c r="F23" s="9" t="n">
        <v>320</v>
      </c>
      <c r="G23" s="9" t="n">
        <v>5</v>
      </c>
      <c r="H23" s="9" t="n">
        <v>0</v>
      </c>
      <c r="I23" s="18" t="n">
        <v>0.9846</v>
      </c>
      <c r="J23" s="18" t="n">
        <v>0.98</v>
      </c>
      <c r="K23" s="9" t="s">
        <v>85</v>
      </c>
    </row>
    <row r="24" customFormat="false" ht="15" hidden="false" customHeight="false" outlineLevel="0" collapsed="false">
      <c r="A24" s="9" t="s">
        <v>51</v>
      </c>
      <c r="B24" s="9" t="s">
        <v>84</v>
      </c>
      <c r="C24" s="9" t="s">
        <v>81</v>
      </c>
      <c r="D24" s="9" t="s">
        <v>66</v>
      </c>
      <c r="E24" s="9" t="n">
        <v>334</v>
      </c>
      <c r="F24" s="9" t="n">
        <v>331</v>
      </c>
      <c r="G24" s="9" t="n">
        <v>3</v>
      </c>
      <c r="H24" s="9" t="n">
        <v>0</v>
      </c>
      <c r="I24" s="18" t="n">
        <v>0.991</v>
      </c>
      <c r="J24" s="18" t="n">
        <v>0.98</v>
      </c>
      <c r="K24" s="9" t="s">
        <v>85</v>
      </c>
    </row>
    <row r="25" customFormat="false" ht="15" hidden="false" customHeight="false" outlineLevel="0" collapsed="false">
      <c r="A25" s="9" t="s">
        <v>51</v>
      </c>
      <c r="B25" s="9" t="s">
        <v>84</v>
      </c>
      <c r="C25" s="9" t="s">
        <v>81</v>
      </c>
      <c r="D25" s="9" t="s">
        <v>67</v>
      </c>
      <c r="E25" s="9" t="n">
        <v>292</v>
      </c>
      <c r="F25" s="9" t="n">
        <v>287</v>
      </c>
      <c r="G25" s="9" t="n">
        <v>5</v>
      </c>
      <c r="H25" s="9" t="n">
        <v>0</v>
      </c>
      <c r="I25" s="18" t="n">
        <v>0.9829</v>
      </c>
      <c r="J25" s="18" t="n">
        <v>0.98</v>
      </c>
      <c r="K25" s="9" t="s">
        <v>85</v>
      </c>
    </row>
    <row r="26" customFormat="false" ht="15" hidden="false" customHeight="false" outlineLevel="0" collapsed="false">
      <c r="A26" s="9" t="s">
        <v>44</v>
      </c>
      <c r="B26" s="9" t="s">
        <v>86</v>
      </c>
      <c r="C26" s="9" t="s">
        <v>87</v>
      </c>
      <c r="D26" s="9" t="s">
        <v>56</v>
      </c>
      <c r="E26" s="9" t="n">
        <v>297</v>
      </c>
      <c r="F26" s="9" t="n">
        <v>293</v>
      </c>
      <c r="G26" s="9" t="n">
        <v>4</v>
      </c>
      <c r="H26" s="9" t="n">
        <v>0</v>
      </c>
      <c r="I26" s="18" t="n">
        <v>0.9865</v>
      </c>
      <c r="J26" s="18" t="n">
        <v>0.97</v>
      </c>
      <c r="K26" s="9" t="s">
        <v>85</v>
      </c>
    </row>
    <row r="27" customFormat="false" ht="15" hidden="false" customHeight="false" outlineLevel="0" collapsed="false">
      <c r="A27" s="9" t="s">
        <v>44</v>
      </c>
      <c r="B27" s="9" t="s">
        <v>86</v>
      </c>
      <c r="C27" s="9" t="s">
        <v>87</v>
      </c>
      <c r="D27" s="9" t="s">
        <v>57</v>
      </c>
      <c r="E27" s="9" t="n">
        <v>297</v>
      </c>
      <c r="F27" s="9" t="n">
        <v>289</v>
      </c>
      <c r="G27" s="9" t="n">
        <v>8</v>
      </c>
      <c r="H27" s="9" t="n">
        <v>0</v>
      </c>
      <c r="I27" s="18" t="n">
        <v>0.9731</v>
      </c>
      <c r="J27" s="18" t="n">
        <v>0.97</v>
      </c>
      <c r="K27" s="9" t="s">
        <v>85</v>
      </c>
    </row>
    <row r="28" customFormat="false" ht="15" hidden="false" customHeight="false" outlineLevel="0" collapsed="false">
      <c r="A28" s="9" t="s">
        <v>44</v>
      </c>
      <c r="B28" s="9" t="s">
        <v>86</v>
      </c>
      <c r="C28" s="9" t="s">
        <v>87</v>
      </c>
      <c r="D28" s="9" t="s">
        <v>58</v>
      </c>
      <c r="E28" s="9" t="n">
        <v>299</v>
      </c>
      <c r="F28" s="9" t="n">
        <v>295</v>
      </c>
      <c r="G28" s="9" t="n">
        <v>4</v>
      </c>
      <c r="H28" s="9" t="n">
        <v>0</v>
      </c>
      <c r="I28" s="18" t="n">
        <v>0.9866</v>
      </c>
      <c r="J28" s="18" t="n">
        <v>0.97</v>
      </c>
      <c r="K28" s="9" t="s">
        <v>85</v>
      </c>
    </row>
    <row r="29" customFormat="false" ht="15" hidden="false" customHeight="false" outlineLevel="0" collapsed="false">
      <c r="A29" s="9" t="s">
        <v>44</v>
      </c>
      <c r="B29" s="9" t="s">
        <v>86</v>
      </c>
      <c r="C29" s="9" t="s">
        <v>87</v>
      </c>
      <c r="D29" s="9" t="s">
        <v>59</v>
      </c>
      <c r="E29" s="9" t="n">
        <v>296</v>
      </c>
      <c r="F29" s="9" t="n">
        <v>290</v>
      </c>
      <c r="G29" s="9" t="n">
        <v>6</v>
      </c>
      <c r="H29" s="9" t="n">
        <v>0</v>
      </c>
      <c r="I29" s="18" t="n">
        <v>0.9797</v>
      </c>
      <c r="J29" s="18" t="n">
        <v>0.97</v>
      </c>
      <c r="K29" s="9" t="s">
        <v>85</v>
      </c>
    </row>
    <row r="30" customFormat="false" ht="15" hidden="false" customHeight="false" outlineLevel="0" collapsed="false">
      <c r="A30" s="9" t="s">
        <v>44</v>
      </c>
      <c r="B30" s="9" t="s">
        <v>86</v>
      </c>
      <c r="C30" s="9" t="s">
        <v>87</v>
      </c>
      <c r="D30" s="9" t="s">
        <v>60</v>
      </c>
      <c r="E30" s="9" t="n">
        <v>296</v>
      </c>
      <c r="F30" s="9" t="n">
        <v>291</v>
      </c>
      <c r="G30" s="9" t="n">
        <v>5</v>
      </c>
      <c r="H30" s="9" t="n">
        <v>0</v>
      </c>
      <c r="I30" s="18" t="n">
        <v>0.9831</v>
      </c>
      <c r="J30" s="18" t="n">
        <v>0.97</v>
      </c>
      <c r="K30" s="9" t="s">
        <v>85</v>
      </c>
    </row>
    <row r="31" customFormat="false" ht="15" hidden="false" customHeight="false" outlineLevel="0" collapsed="false">
      <c r="A31" s="9" t="s">
        <v>44</v>
      </c>
      <c r="B31" s="9" t="s">
        <v>86</v>
      </c>
      <c r="C31" s="9" t="s">
        <v>87</v>
      </c>
      <c r="D31" s="9" t="s">
        <v>61</v>
      </c>
      <c r="E31" s="9" t="n">
        <v>299</v>
      </c>
      <c r="F31" s="9" t="n">
        <v>228</v>
      </c>
      <c r="G31" s="9" t="n">
        <v>71</v>
      </c>
      <c r="H31" s="9" t="n">
        <v>0</v>
      </c>
      <c r="I31" s="18" t="n">
        <v>0.7625</v>
      </c>
      <c r="J31" s="18" t="n">
        <v>0.97</v>
      </c>
      <c r="K31" s="9" t="s">
        <v>82</v>
      </c>
    </row>
    <row r="32" customFormat="false" ht="15" hidden="false" customHeight="false" outlineLevel="0" collapsed="false">
      <c r="A32" s="9" t="s">
        <v>44</v>
      </c>
      <c r="B32" s="9" t="s">
        <v>86</v>
      </c>
      <c r="C32" s="9" t="s">
        <v>87</v>
      </c>
      <c r="D32" s="9" t="s">
        <v>62</v>
      </c>
      <c r="E32" s="9" t="n">
        <v>298</v>
      </c>
      <c r="F32" s="9" t="n">
        <v>292</v>
      </c>
      <c r="G32" s="9" t="n">
        <v>6</v>
      </c>
      <c r="H32" s="9" t="n">
        <v>0</v>
      </c>
      <c r="I32" s="18" t="n">
        <v>0.9799</v>
      </c>
      <c r="J32" s="18" t="n">
        <v>0.97</v>
      </c>
      <c r="K32" s="9" t="s">
        <v>85</v>
      </c>
    </row>
    <row r="33" customFormat="false" ht="15" hidden="false" customHeight="false" outlineLevel="0" collapsed="false">
      <c r="A33" s="9" t="s">
        <v>44</v>
      </c>
      <c r="B33" s="9" t="s">
        <v>86</v>
      </c>
      <c r="C33" s="9" t="s">
        <v>87</v>
      </c>
      <c r="D33" s="9" t="s">
        <v>63</v>
      </c>
      <c r="E33" s="9" t="n">
        <v>297</v>
      </c>
      <c r="F33" s="9" t="n">
        <v>294</v>
      </c>
      <c r="G33" s="9" t="n">
        <v>3</v>
      </c>
      <c r="H33" s="9" t="n">
        <v>0</v>
      </c>
      <c r="I33" s="18" t="n">
        <v>0.9899</v>
      </c>
      <c r="J33" s="18" t="n">
        <v>0.97</v>
      </c>
      <c r="K33" s="9" t="s">
        <v>85</v>
      </c>
    </row>
    <row r="34" customFormat="false" ht="15" hidden="false" customHeight="false" outlineLevel="0" collapsed="false">
      <c r="A34" s="9" t="s">
        <v>44</v>
      </c>
      <c r="B34" s="9" t="s">
        <v>86</v>
      </c>
      <c r="C34" s="9" t="s">
        <v>87</v>
      </c>
      <c r="D34" s="9" t="s">
        <v>64</v>
      </c>
      <c r="E34" s="9" t="n">
        <v>296</v>
      </c>
      <c r="F34" s="9" t="n">
        <v>292</v>
      </c>
      <c r="G34" s="9" t="n">
        <v>4</v>
      </c>
      <c r="H34" s="9" t="n">
        <v>0</v>
      </c>
      <c r="I34" s="18" t="n">
        <v>0.9865</v>
      </c>
      <c r="J34" s="18" t="n">
        <v>0.97</v>
      </c>
      <c r="K34" s="9" t="s">
        <v>85</v>
      </c>
    </row>
    <row r="35" customFormat="false" ht="15" hidden="false" customHeight="false" outlineLevel="0" collapsed="false">
      <c r="A35" s="9" t="s">
        <v>44</v>
      </c>
      <c r="B35" s="9" t="s">
        <v>86</v>
      </c>
      <c r="C35" s="9" t="s">
        <v>87</v>
      </c>
      <c r="D35" s="9" t="s">
        <v>65</v>
      </c>
      <c r="E35" s="9" t="n">
        <v>297</v>
      </c>
      <c r="F35" s="9" t="n">
        <v>292</v>
      </c>
      <c r="G35" s="9" t="n">
        <v>5</v>
      </c>
      <c r="H35" s="9" t="n">
        <v>0</v>
      </c>
      <c r="I35" s="18" t="n">
        <v>0.9832</v>
      </c>
      <c r="J35" s="18" t="n">
        <v>0.97</v>
      </c>
      <c r="K35" s="9" t="s">
        <v>85</v>
      </c>
    </row>
    <row r="36" customFormat="false" ht="15" hidden="false" customHeight="false" outlineLevel="0" collapsed="false">
      <c r="A36" s="9" t="s">
        <v>44</v>
      </c>
      <c r="B36" s="9" t="s">
        <v>86</v>
      </c>
      <c r="C36" s="9" t="s">
        <v>87</v>
      </c>
      <c r="D36" s="9" t="s">
        <v>66</v>
      </c>
      <c r="E36" s="9" t="n">
        <v>300</v>
      </c>
      <c r="F36" s="9" t="n">
        <v>289</v>
      </c>
      <c r="G36" s="9" t="n">
        <v>11</v>
      </c>
      <c r="H36" s="9" t="n">
        <v>0</v>
      </c>
      <c r="I36" s="18" t="n">
        <v>0.9633</v>
      </c>
      <c r="J36" s="18" t="n">
        <v>0.97</v>
      </c>
      <c r="K36" s="9" t="s">
        <v>83</v>
      </c>
    </row>
    <row r="37" customFormat="false" ht="15" hidden="false" customHeight="false" outlineLevel="0" collapsed="false">
      <c r="A37" s="9" t="s">
        <v>44</v>
      </c>
      <c r="B37" s="9" t="s">
        <v>86</v>
      </c>
      <c r="C37" s="9" t="s">
        <v>87</v>
      </c>
      <c r="D37" s="9" t="s">
        <v>67</v>
      </c>
      <c r="E37" s="9" t="n">
        <v>299</v>
      </c>
      <c r="F37" s="9" t="n">
        <v>294</v>
      </c>
      <c r="G37" s="9" t="n">
        <v>5</v>
      </c>
      <c r="H37" s="9" t="n">
        <v>0</v>
      </c>
      <c r="I37" s="18" t="n">
        <v>0.9833</v>
      </c>
      <c r="J37" s="18" t="n">
        <v>0.97</v>
      </c>
      <c r="K37" s="9" t="s">
        <v>85</v>
      </c>
    </row>
    <row r="38" customFormat="false" ht="15" hidden="false" customHeight="false" outlineLevel="0" collapsed="false">
      <c r="A38" s="9" t="s">
        <v>45</v>
      </c>
      <c r="B38" s="9" t="s">
        <v>88</v>
      </c>
      <c r="C38" s="9" t="s">
        <v>87</v>
      </c>
      <c r="D38" s="9" t="s">
        <v>56</v>
      </c>
      <c r="E38" s="9" t="n">
        <v>300</v>
      </c>
      <c r="F38" s="9" t="n">
        <v>281</v>
      </c>
      <c r="G38" s="9" t="n">
        <v>19</v>
      </c>
      <c r="H38" s="9" t="n">
        <v>0</v>
      </c>
      <c r="I38" s="18" t="n">
        <v>0.9367</v>
      </c>
      <c r="J38" s="18" t="n">
        <v>0.95</v>
      </c>
      <c r="K38" s="9" t="s">
        <v>83</v>
      </c>
    </row>
    <row r="39" customFormat="false" ht="15" hidden="false" customHeight="false" outlineLevel="0" collapsed="false">
      <c r="A39" s="9" t="s">
        <v>45</v>
      </c>
      <c r="B39" s="9" t="s">
        <v>88</v>
      </c>
      <c r="C39" s="9" t="s">
        <v>87</v>
      </c>
      <c r="D39" s="9" t="s">
        <v>57</v>
      </c>
      <c r="E39" s="9" t="n">
        <v>300</v>
      </c>
      <c r="F39" s="9" t="n">
        <v>290</v>
      </c>
      <c r="G39" s="9" t="n">
        <v>10</v>
      </c>
      <c r="H39" s="9" t="n">
        <v>0</v>
      </c>
      <c r="I39" s="18" t="n">
        <v>0.9667</v>
      </c>
      <c r="J39" s="18" t="n">
        <v>0.95</v>
      </c>
      <c r="K39" s="9" t="s">
        <v>85</v>
      </c>
    </row>
    <row r="40" customFormat="false" ht="15" hidden="false" customHeight="false" outlineLevel="0" collapsed="false">
      <c r="A40" s="9" t="s">
        <v>45</v>
      </c>
      <c r="B40" s="9" t="s">
        <v>88</v>
      </c>
      <c r="C40" s="9" t="s">
        <v>87</v>
      </c>
      <c r="D40" s="9" t="s">
        <v>58</v>
      </c>
      <c r="E40" s="9" t="n">
        <v>300</v>
      </c>
      <c r="F40" s="9" t="n">
        <v>291</v>
      </c>
      <c r="G40" s="9" t="n">
        <v>9</v>
      </c>
      <c r="H40" s="9" t="n">
        <v>0</v>
      </c>
      <c r="I40" s="18" t="n">
        <v>0.97</v>
      </c>
      <c r="J40" s="18" t="n">
        <v>0.95</v>
      </c>
      <c r="K40" s="9" t="s">
        <v>85</v>
      </c>
    </row>
    <row r="41" customFormat="false" ht="15" hidden="false" customHeight="false" outlineLevel="0" collapsed="false">
      <c r="A41" s="9" t="s">
        <v>45</v>
      </c>
      <c r="B41" s="9" t="s">
        <v>88</v>
      </c>
      <c r="C41" s="9" t="s">
        <v>87</v>
      </c>
      <c r="D41" s="9" t="s">
        <v>59</v>
      </c>
      <c r="E41" s="9" t="n">
        <v>300</v>
      </c>
      <c r="F41" s="9" t="n">
        <v>293</v>
      </c>
      <c r="G41" s="9" t="n">
        <v>7</v>
      </c>
      <c r="H41" s="9" t="n">
        <v>0</v>
      </c>
      <c r="I41" s="18" t="n">
        <v>0.9767</v>
      </c>
      <c r="J41" s="18" t="n">
        <v>0.95</v>
      </c>
      <c r="K41" s="9" t="s">
        <v>85</v>
      </c>
    </row>
    <row r="42" customFormat="false" ht="15" hidden="false" customHeight="false" outlineLevel="0" collapsed="false">
      <c r="A42" s="9" t="s">
        <v>45</v>
      </c>
      <c r="B42" s="9" t="s">
        <v>88</v>
      </c>
      <c r="C42" s="9" t="s">
        <v>87</v>
      </c>
      <c r="D42" s="9" t="s">
        <v>60</v>
      </c>
      <c r="E42" s="9" t="n">
        <v>300</v>
      </c>
      <c r="F42" s="9" t="n">
        <v>292</v>
      </c>
      <c r="G42" s="9" t="n">
        <v>8</v>
      </c>
      <c r="H42" s="9" t="n">
        <v>0</v>
      </c>
      <c r="I42" s="18" t="n">
        <v>0.9733</v>
      </c>
      <c r="J42" s="18" t="n">
        <v>0.95</v>
      </c>
      <c r="K42" s="9" t="s">
        <v>85</v>
      </c>
    </row>
    <row r="43" customFormat="false" ht="15" hidden="false" customHeight="false" outlineLevel="0" collapsed="false">
      <c r="A43" s="9" t="s">
        <v>45</v>
      </c>
      <c r="B43" s="9" t="s">
        <v>88</v>
      </c>
      <c r="C43" s="9" t="s">
        <v>87</v>
      </c>
      <c r="D43" s="9" t="s">
        <v>61</v>
      </c>
      <c r="E43" s="9" t="n">
        <v>300</v>
      </c>
      <c r="F43" s="9" t="n">
        <v>289</v>
      </c>
      <c r="G43" s="9" t="n">
        <v>11</v>
      </c>
      <c r="H43" s="9" t="n">
        <v>0</v>
      </c>
      <c r="I43" s="18" t="n">
        <v>0.9633</v>
      </c>
      <c r="J43" s="18" t="n">
        <v>0.95</v>
      </c>
      <c r="K43" s="9" t="s">
        <v>85</v>
      </c>
    </row>
    <row r="44" customFormat="false" ht="15" hidden="false" customHeight="false" outlineLevel="0" collapsed="false">
      <c r="A44" s="9" t="s">
        <v>45</v>
      </c>
      <c r="B44" s="9" t="s">
        <v>88</v>
      </c>
      <c r="C44" s="9" t="s">
        <v>87</v>
      </c>
      <c r="D44" s="9" t="s">
        <v>62</v>
      </c>
      <c r="E44" s="9" t="n">
        <v>300</v>
      </c>
      <c r="F44" s="9" t="n">
        <v>294</v>
      </c>
      <c r="G44" s="9" t="n">
        <v>6</v>
      </c>
      <c r="H44" s="9" t="n">
        <v>0</v>
      </c>
      <c r="I44" s="18" t="n">
        <v>0.98</v>
      </c>
      <c r="J44" s="18" t="n">
        <v>0.95</v>
      </c>
      <c r="K44" s="9" t="s">
        <v>85</v>
      </c>
    </row>
    <row r="45" customFormat="false" ht="15" hidden="false" customHeight="false" outlineLevel="0" collapsed="false">
      <c r="A45" s="9" t="s">
        <v>45</v>
      </c>
      <c r="B45" s="9" t="s">
        <v>88</v>
      </c>
      <c r="C45" s="9" t="s">
        <v>87</v>
      </c>
      <c r="D45" s="9" t="s">
        <v>63</v>
      </c>
      <c r="E45" s="9" t="n">
        <v>300</v>
      </c>
      <c r="F45" s="9" t="n">
        <v>284</v>
      </c>
      <c r="G45" s="9" t="n">
        <v>16</v>
      </c>
      <c r="H45" s="9" t="n">
        <v>0</v>
      </c>
      <c r="I45" s="18" t="n">
        <v>0.9467</v>
      </c>
      <c r="J45" s="18" t="n">
        <v>0.95</v>
      </c>
      <c r="K45" s="9" t="s">
        <v>83</v>
      </c>
    </row>
    <row r="46" customFormat="false" ht="15" hidden="false" customHeight="false" outlineLevel="0" collapsed="false">
      <c r="A46" s="9" t="s">
        <v>45</v>
      </c>
      <c r="B46" s="9" t="s">
        <v>88</v>
      </c>
      <c r="C46" s="9" t="s">
        <v>87</v>
      </c>
      <c r="D46" s="9" t="s">
        <v>64</v>
      </c>
      <c r="E46" s="9" t="n">
        <v>300</v>
      </c>
      <c r="F46" s="9" t="n">
        <v>286</v>
      </c>
      <c r="G46" s="9" t="n">
        <v>14</v>
      </c>
      <c r="H46" s="9" t="n">
        <v>0</v>
      </c>
      <c r="I46" s="18" t="n">
        <v>0.9533</v>
      </c>
      <c r="J46" s="18" t="n">
        <v>0.95</v>
      </c>
      <c r="K46" s="9" t="s">
        <v>85</v>
      </c>
    </row>
    <row r="47" customFormat="false" ht="15" hidden="false" customHeight="false" outlineLevel="0" collapsed="false">
      <c r="A47" s="9" t="s">
        <v>45</v>
      </c>
      <c r="B47" s="9" t="s">
        <v>88</v>
      </c>
      <c r="C47" s="9" t="s">
        <v>87</v>
      </c>
      <c r="D47" s="9" t="s">
        <v>65</v>
      </c>
      <c r="E47" s="9" t="n">
        <v>300</v>
      </c>
      <c r="F47" s="9" t="n">
        <v>288</v>
      </c>
      <c r="G47" s="9" t="n">
        <v>12</v>
      </c>
      <c r="H47" s="9" t="n">
        <v>0</v>
      </c>
      <c r="I47" s="18" t="n">
        <v>0.96</v>
      </c>
      <c r="J47" s="18" t="n">
        <v>0.95</v>
      </c>
      <c r="K47" s="9" t="s">
        <v>85</v>
      </c>
    </row>
    <row r="48" customFormat="false" ht="15" hidden="false" customHeight="false" outlineLevel="0" collapsed="false">
      <c r="A48" s="9" t="s">
        <v>45</v>
      </c>
      <c r="B48" s="9" t="s">
        <v>88</v>
      </c>
      <c r="C48" s="9" t="s">
        <v>87</v>
      </c>
      <c r="D48" s="9" t="s">
        <v>66</v>
      </c>
      <c r="E48" s="9" t="n">
        <v>300</v>
      </c>
      <c r="F48" s="9" t="n">
        <v>286</v>
      </c>
      <c r="G48" s="9" t="n">
        <v>14</v>
      </c>
      <c r="H48" s="9" t="n">
        <v>0</v>
      </c>
      <c r="I48" s="18" t="n">
        <v>0.9533</v>
      </c>
      <c r="J48" s="18" t="n">
        <v>0.95</v>
      </c>
      <c r="K48" s="9" t="s">
        <v>85</v>
      </c>
    </row>
    <row r="49" customFormat="false" ht="15" hidden="false" customHeight="false" outlineLevel="0" collapsed="false">
      <c r="A49" s="9" t="s">
        <v>45</v>
      </c>
      <c r="B49" s="9" t="s">
        <v>88</v>
      </c>
      <c r="C49" s="9" t="s">
        <v>87</v>
      </c>
      <c r="D49" s="9" t="s">
        <v>67</v>
      </c>
      <c r="E49" s="9" t="n">
        <v>300</v>
      </c>
      <c r="F49" s="9" t="n">
        <v>288</v>
      </c>
      <c r="G49" s="9" t="n">
        <v>12</v>
      </c>
      <c r="H49" s="9" t="n">
        <v>0</v>
      </c>
      <c r="I49" s="18" t="n">
        <v>0.96</v>
      </c>
      <c r="J49" s="18" t="n">
        <v>0.95</v>
      </c>
      <c r="K49" s="9" t="s">
        <v>85</v>
      </c>
    </row>
    <row r="50" customFormat="false" ht="15" hidden="false" customHeight="false" outlineLevel="0" collapsed="false">
      <c r="A50" s="9" t="s">
        <v>46</v>
      </c>
      <c r="B50" s="9" t="s">
        <v>89</v>
      </c>
      <c r="C50" s="9" t="s">
        <v>90</v>
      </c>
      <c r="D50" s="9" t="s">
        <v>56</v>
      </c>
      <c r="E50" s="9" t="n">
        <v>21</v>
      </c>
      <c r="F50" s="9" t="n">
        <v>21</v>
      </c>
      <c r="G50" s="9" t="n">
        <v>0</v>
      </c>
      <c r="H50" s="9" t="n">
        <v>0</v>
      </c>
      <c r="I50" s="18" t="n">
        <v>1</v>
      </c>
      <c r="J50" s="18" t="n">
        <v>0.96</v>
      </c>
      <c r="K50" s="9" t="s">
        <v>85</v>
      </c>
    </row>
    <row r="51" customFormat="false" ht="15" hidden="false" customHeight="false" outlineLevel="0" collapsed="false">
      <c r="A51" s="9" t="s">
        <v>46</v>
      </c>
      <c r="B51" s="9" t="s">
        <v>89</v>
      </c>
      <c r="C51" s="9" t="s">
        <v>90</v>
      </c>
      <c r="D51" s="9" t="s">
        <v>57</v>
      </c>
      <c r="E51" s="9" t="n">
        <v>163</v>
      </c>
      <c r="F51" s="9" t="n">
        <v>157</v>
      </c>
      <c r="G51" s="9" t="n">
        <v>6</v>
      </c>
      <c r="H51" s="9" t="n">
        <v>0</v>
      </c>
      <c r="I51" s="18" t="n">
        <v>0.9632</v>
      </c>
      <c r="J51" s="18" t="n">
        <v>0.96</v>
      </c>
      <c r="K51" s="9" t="s">
        <v>85</v>
      </c>
    </row>
    <row r="52" customFormat="false" ht="15" hidden="false" customHeight="false" outlineLevel="0" collapsed="false">
      <c r="A52" s="9" t="s">
        <v>46</v>
      </c>
      <c r="B52" s="9" t="s">
        <v>89</v>
      </c>
      <c r="C52" s="9" t="s">
        <v>90</v>
      </c>
      <c r="D52" s="9" t="s">
        <v>58</v>
      </c>
      <c r="E52" s="9" t="n">
        <v>149</v>
      </c>
      <c r="F52" s="9" t="n">
        <v>141</v>
      </c>
      <c r="G52" s="9" t="n">
        <v>8</v>
      </c>
      <c r="H52" s="9" t="n">
        <v>0</v>
      </c>
      <c r="I52" s="18" t="n">
        <v>0.9463</v>
      </c>
      <c r="J52" s="18" t="n">
        <v>0.96</v>
      </c>
      <c r="K52" s="9" t="s">
        <v>83</v>
      </c>
    </row>
    <row r="53" customFormat="false" ht="15" hidden="false" customHeight="false" outlineLevel="0" collapsed="false">
      <c r="A53" s="9" t="s">
        <v>46</v>
      </c>
      <c r="B53" s="9" t="s">
        <v>89</v>
      </c>
      <c r="C53" s="9" t="s">
        <v>90</v>
      </c>
      <c r="D53" s="9" t="s">
        <v>59</v>
      </c>
      <c r="E53" s="9" t="n">
        <v>143</v>
      </c>
      <c r="F53" s="9" t="n">
        <v>141</v>
      </c>
      <c r="G53" s="9" t="n">
        <v>2</v>
      </c>
      <c r="H53" s="9" t="n">
        <v>0</v>
      </c>
      <c r="I53" s="18" t="n">
        <v>0.986</v>
      </c>
      <c r="J53" s="18" t="n">
        <v>0.96</v>
      </c>
      <c r="K53" s="9" t="s">
        <v>85</v>
      </c>
    </row>
    <row r="54" customFormat="false" ht="15" hidden="false" customHeight="false" outlineLevel="0" collapsed="false">
      <c r="A54" s="9" t="s">
        <v>46</v>
      </c>
      <c r="B54" s="9" t="s">
        <v>89</v>
      </c>
      <c r="C54" s="9" t="s">
        <v>90</v>
      </c>
      <c r="D54" s="9" t="s">
        <v>60</v>
      </c>
      <c r="E54" s="9" t="n">
        <v>159</v>
      </c>
      <c r="F54" s="9" t="n">
        <v>153</v>
      </c>
      <c r="G54" s="9" t="n">
        <v>6</v>
      </c>
      <c r="H54" s="9" t="n">
        <v>0</v>
      </c>
      <c r="I54" s="18" t="n">
        <v>0.9623</v>
      </c>
      <c r="J54" s="18" t="n">
        <v>0.96</v>
      </c>
      <c r="K54" s="9" t="s">
        <v>85</v>
      </c>
    </row>
    <row r="55" customFormat="false" ht="15" hidden="false" customHeight="false" outlineLevel="0" collapsed="false">
      <c r="A55" s="9" t="s">
        <v>46</v>
      </c>
      <c r="B55" s="9" t="s">
        <v>89</v>
      </c>
      <c r="C55" s="9" t="s">
        <v>90</v>
      </c>
      <c r="D55" s="9" t="s">
        <v>61</v>
      </c>
      <c r="E55" s="9" t="n">
        <v>140</v>
      </c>
      <c r="F55" s="9" t="n">
        <v>133</v>
      </c>
      <c r="G55" s="9" t="n">
        <v>7</v>
      </c>
      <c r="H55" s="9" t="n">
        <v>0</v>
      </c>
      <c r="I55" s="18" t="n">
        <v>0.95</v>
      </c>
      <c r="J55" s="18" t="n">
        <v>0.96</v>
      </c>
      <c r="K55" s="9" t="s">
        <v>83</v>
      </c>
    </row>
    <row r="56" customFormat="false" ht="15" hidden="false" customHeight="false" outlineLevel="0" collapsed="false">
      <c r="A56" s="9" t="s">
        <v>46</v>
      </c>
      <c r="B56" s="9" t="s">
        <v>89</v>
      </c>
      <c r="C56" s="9" t="s">
        <v>90</v>
      </c>
      <c r="D56" s="9" t="s">
        <v>62</v>
      </c>
      <c r="E56" s="9" t="n">
        <v>151</v>
      </c>
      <c r="F56" s="9" t="n">
        <v>144</v>
      </c>
      <c r="G56" s="9" t="n">
        <v>7</v>
      </c>
      <c r="H56" s="9" t="n">
        <v>0</v>
      </c>
      <c r="I56" s="18" t="n">
        <v>0.9536</v>
      </c>
      <c r="J56" s="18" t="n">
        <v>0.96</v>
      </c>
      <c r="K56" s="9" t="s">
        <v>83</v>
      </c>
    </row>
    <row r="57" customFormat="false" ht="15" hidden="false" customHeight="false" outlineLevel="0" collapsed="false">
      <c r="A57" s="9" t="s">
        <v>46</v>
      </c>
      <c r="B57" s="9" t="s">
        <v>89</v>
      </c>
      <c r="C57" s="9" t="s">
        <v>90</v>
      </c>
      <c r="D57" s="9" t="s">
        <v>63</v>
      </c>
      <c r="E57" s="9" t="n">
        <v>150</v>
      </c>
      <c r="F57" s="9" t="n">
        <v>142</v>
      </c>
      <c r="G57" s="9" t="n">
        <v>8</v>
      </c>
      <c r="H57" s="9" t="n">
        <v>0</v>
      </c>
      <c r="I57" s="18" t="n">
        <v>0.9467</v>
      </c>
      <c r="J57" s="18" t="n">
        <v>0.96</v>
      </c>
      <c r="K57" s="9" t="s">
        <v>83</v>
      </c>
    </row>
    <row r="58" customFormat="false" ht="15" hidden="false" customHeight="false" outlineLevel="0" collapsed="false">
      <c r="A58" s="9" t="s">
        <v>46</v>
      </c>
      <c r="B58" s="9" t="s">
        <v>89</v>
      </c>
      <c r="C58" s="9" t="s">
        <v>90</v>
      </c>
      <c r="D58" s="9" t="s">
        <v>64</v>
      </c>
      <c r="E58" s="9" t="n">
        <v>155</v>
      </c>
      <c r="F58" s="9" t="n">
        <v>142</v>
      </c>
      <c r="G58" s="9" t="n">
        <v>13</v>
      </c>
      <c r="H58" s="9" t="n">
        <v>0</v>
      </c>
      <c r="I58" s="18" t="n">
        <v>0.9161</v>
      </c>
      <c r="J58" s="18" t="n">
        <v>0.96</v>
      </c>
      <c r="K58" s="9" t="s">
        <v>82</v>
      </c>
    </row>
    <row r="59" customFormat="false" ht="15" hidden="false" customHeight="false" outlineLevel="0" collapsed="false">
      <c r="A59" s="9" t="s">
        <v>46</v>
      </c>
      <c r="B59" s="9" t="s">
        <v>89</v>
      </c>
      <c r="C59" s="9" t="s">
        <v>90</v>
      </c>
      <c r="D59" s="9" t="s">
        <v>65</v>
      </c>
      <c r="E59" s="9" t="n">
        <v>150</v>
      </c>
      <c r="F59" s="9" t="n">
        <v>143</v>
      </c>
      <c r="G59" s="9" t="n">
        <v>7</v>
      </c>
      <c r="H59" s="9" t="n">
        <v>0</v>
      </c>
      <c r="I59" s="18" t="n">
        <v>0.9533</v>
      </c>
      <c r="J59" s="18" t="n">
        <v>0.96</v>
      </c>
      <c r="K59" s="9" t="s">
        <v>83</v>
      </c>
    </row>
    <row r="60" customFormat="false" ht="15" hidden="false" customHeight="false" outlineLevel="0" collapsed="false">
      <c r="A60" s="9" t="s">
        <v>46</v>
      </c>
      <c r="B60" s="9" t="s">
        <v>89</v>
      </c>
      <c r="C60" s="9" t="s">
        <v>90</v>
      </c>
      <c r="D60" s="9" t="s">
        <v>66</v>
      </c>
      <c r="E60" s="9" t="n">
        <v>148</v>
      </c>
      <c r="F60" s="9" t="n">
        <v>126</v>
      </c>
      <c r="G60" s="9" t="n">
        <v>22</v>
      </c>
      <c r="H60" s="9" t="n">
        <v>0</v>
      </c>
      <c r="I60" s="18" t="n">
        <v>0.8514</v>
      </c>
      <c r="J60" s="18" t="n">
        <v>0.96</v>
      </c>
      <c r="K60" s="9" t="s">
        <v>82</v>
      </c>
    </row>
    <row r="61" customFormat="false" ht="15" hidden="false" customHeight="false" outlineLevel="0" collapsed="false">
      <c r="A61" s="9" t="s">
        <v>46</v>
      </c>
      <c r="B61" s="9" t="s">
        <v>89</v>
      </c>
      <c r="C61" s="9" t="s">
        <v>90</v>
      </c>
      <c r="D61" s="9" t="s">
        <v>67</v>
      </c>
      <c r="E61" s="9" t="n">
        <v>153</v>
      </c>
      <c r="F61" s="9" t="n">
        <v>123</v>
      </c>
      <c r="G61" s="9" t="n">
        <v>30</v>
      </c>
      <c r="H61" s="9" t="n">
        <v>0</v>
      </c>
      <c r="I61" s="18" t="n">
        <v>0.8039</v>
      </c>
      <c r="J61" s="18" t="n">
        <v>0.96</v>
      </c>
      <c r="K61" s="9" t="s">
        <v>82</v>
      </c>
    </row>
    <row r="62" customFormat="false" ht="15" hidden="false" customHeight="false" outlineLevel="0" collapsed="false">
      <c r="A62" s="9" t="s">
        <v>46</v>
      </c>
      <c r="B62" s="9" t="s">
        <v>89</v>
      </c>
      <c r="C62" s="9" t="s">
        <v>90</v>
      </c>
      <c r="D62" s="9" t="s">
        <v>68</v>
      </c>
      <c r="E62" s="9" t="n">
        <v>118</v>
      </c>
      <c r="F62" s="9" t="n">
        <v>78</v>
      </c>
      <c r="G62" s="9" t="n">
        <v>40</v>
      </c>
      <c r="H62" s="9" t="n">
        <v>0</v>
      </c>
      <c r="I62" s="18" t="n">
        <v>0.661</v>
      </c>
      <c r="J62" s="18" t="n">
        <v>0.96</v>
      </c>
      <c r="K62" s="9" t="s">
        <v>82</v>
      </c>
    </row>
    <row r="63" customFormat="false" ht="15" hidden="false" customHeight="false" outlineLevel="0" collapsed="false">
      <c r="A63" s="9" t="s">
        <v>47</v>
      </c>
      <c r="B63" s="9" t="s">
        <v>91</v>
      </c>
      <c r="C63" s="9" t="s">
        <v>90</v>
      </c>
      <c r="D63" s="9" t="s">
        <v>56</v>
      </c>
      <c r="E63" s="9" t="n">
        <v>21</v>
      </c>
      <c r="F63" s="9" t="n">
        <v>21</v>
      </c>
      <c r="G63" s="9" t="n">
        <v>0</v>
      </c>
      <c r="H63" s="9" t="n">
        <v>0</v>
      </c>
      <c r="I63" s="18" t="n">
        <v>1</v>
      </c>
      <c r="J63" s="18" t="n">
        <v>0.98</v>
      </c>
      <c r="K63" s="9" t="s">
        <v>85</v>
      </c>
    </row>
    <row r="64" customFormat="false" ht="15" hidden="false" customHeight="false" outlineLevel="0" collapsed="false">
      <c r="A64" s="9" t="s">
        <v>47</v>
      </c>
      <c r="B64" s="9" t="s">
        <v>91</v>
      </c>
      <c r="C64" s="9" t="s">
        <v>90</v>
      </c>
      <c r="D64" s="9" t="s">
        <v>57</v>
      </c>
      <c r="E64" s="9" t="n">
        <v>163</v>
      </c>
      <c r="F64" s="9" t="n">
        <v>153</v>
      </c>
      <c r="G64" s="9" t="n">
        <v>10</v>
      </c>
      <c r="H64" s="9" t="n">
        <v>0</v>
      </c>
      <c r="I64" s="18" t="n">
        <v>0.9387</v>
      </c>
      <c r="J64" s="18" t="n">
        <v>0.98</v>
      </c>
      <c r="K64" s="9" t="s">
        <v>82</v>
      </c>
    </row>
    <row r="65" customFormat="false" ht="15" hidden="false" customHeight="false" outlineLevel="0" collapsed="false">
      <c r="A65" s="9" t="s">
        <v>47</v>
      </c>
      <c r="B65" s="9" t="s">
        <v>91</v>
      </c>
      <c r="C65" s="9" t="s">
        <v>90</v>
      </c>
      <c r="D65" s="9" t="s">
        <v>58</v>
      </c>
      <c r="E65" s="9" t="n">
        <v>149</v>
      </c>
      <c r="F65" s="9" t="n">
        <v>144</v>
      </c>
      <c r="G65" s="9" t="n">
        <v>5</v>
      </c>
      <c r="H65" s="9" t="n">
        <v>0</v>
      </c>
      <c r="I65" s="18" t="n">
        <v>0.9664</v>
      </c>
      <c r="J65" s="18" t="n">
        <v>0.98</v>
      </c>
      <c r="K65" s="9" t="s">
        <v>83</v>
      </c>
    </row>
    <row r="66" customFormat="false" ht="15" hidden="false" customHeight="false" outlineLevel="0" collapsed="false">
      <c r="A66" s="9" t="s">
        <v>47</v>
      </c>
      <c r="B66" s="9" t="s">
        <v>91</v>
      </c>
      <c r="C66" s="9" t="s">
        <v>90</v>
      </c>
      <c r="D66" s="9" t="s">
        <v>59</v>
      </c>
      <c r="E66" s="9" t="n">
        <v>143</v>
      </c>
      <c r="F66" s="9" t="n">
        <v>136</v>
      </c>
      <c r="G66" s="9" t="n">
        <v>7</v>
      </c>
      <c r="H66" s="9" t="n">
        <v>0</v>
      </c>
      <c r="I66" s="18" t="n">
        <v>0.951</v>
      </c>
      <c r="J66" s="18" t="n">
        <v>0.98</v>
      </c>
      <c r="K66" s="9" t="s">
        <v>83</v>
      </c>
    </row>
    <row r="67" customFormat="false" ht="15" hidden="false" customHeight="false" outlineLevel="0" collapsed="false">
      <c r="A67" s="9" t="s">
        <v>47</v>
      </c>
      <c r="B67" s="9" t="s">
        <v>91</v>
      </c>
      <c r="C67" s="9" t="s">
        <v>90</v>
      </c>
      <c r="D67" s="9" t="s">
        <v>60</v>
      </c>
      <c r="E67" s="9" t="n">
        <v>159</v>
      </c>
      <c r="F67" s="9" t="n">
        <v>153</v>
      </c>
      <c r="G67" s="9" t="n">
        <v>6</v>
      </c>
      <c r="H67" s="9" t="n">
        <v>0</v>
      </c>
      <c r="I67" s="18" t="n">
        <v>0.9623</v>
      </c>
      <c r="J67" s="18" t="n">
        <v>0.98</v>
      </c>
      <c r="K67" s="9" t="s">
        <v>83</v>
      </c>
    </row>
    <row r="68" customFormat="false" ht="15" hidden="false" customHeight="false" outlineLevel="0" collapsed="false">
      <c r="A68" s="9" t="s">
        <v>47</v>
      </c>
      <c r="B68" s="9" t="s">
        <v>91</v>
      </c>
      <c r="C68" s="9" t="s">
        <v>90</v>
      </c>
      <c r="D68" s="9" t="s">
        <v>61</v>
      </c>
      <c r="E68" s="9" t="n">
        <v>140</v>
      </c>
      <c r="F68" s="9" t="n">
        <v>136</v>
      </c>
      <c r="G68" s="9" t="n">
        <v>4</v>
      </c>
      <c r="H68" s="9" t="n">
        <v>0</v>
      </c>
      <c r="I68" s="18" t="n">
        <v>0.9714</v>
      </c>
      <c r="J68" s="18" t="n">
        <v>0.98</v>
      </c>
      <c r="K68" s="9" t="s">
        <v>83</v>
      </c>
    </row>
    <row r="69" customFormat="false" ht="15" hidden="false" customHeight="false" outlineLevel="0" collapsed="false">
      <c r="A69" s="9" t="s">
        <v>47</v>
      </c>
      <c r="B69" s="9" t="s">
        <v>91</v>
      </c>
      <c r="C69" s="9" t="s">
        <v>90</v>
      </c>
      <c r="D69" s="9" t="s">
        <v>62</v>
      </c>
      <c r="E69" s="9" t="n">
        <v>151</v>
      </c>
      <c r="F69" s="9" t="n">
        <v>143</v>
      </c>
      <c r="G69" s="9" t="n">
        <v>8</v>
      </c>
      <c r="H69" s="9" t="n">
        <v>0</v>
      </c>
      <c r="I69" s="18" t="n">
        <v>0.947</v>
      </c>
      <c r="J69" s="18" t="n">
        <v>0.98</v>
      </c>
      <c r="K69" s="9" t="s">
        <v>82</v>
      </c>
    </row>
    <row r="70" customFormat="false" ht="15" hidden="false" customHeight="false" outlineLevel="0" collapsed="false">
      <c r="A70" s="9" t="s">
        <v>47</v>
      </c>
      <c r="B70" s="9" t="s">
        <v>91</v>
      </c>
      <c r="C70" s="9" t="s">
        <v>90</v>
      </c>
      <c r="D70" s="9" t="s">
        <v>63</v>
      </c>
      <c r="E70" s="9" t="n">
        <v>150</v>
      </c>
      <c r="F70" s="9" t="n">
        <v>147</v>
      </c>
      <c r="G70" s="9" t="n">
        <v>3</v>
      </c>
      <c r="H70" s="9" t="n">
        <v>0</v>
      </c>
      <c r="I70" s="18" t="n">
        <v>0.98</v>
      </c>
      <c r="J70" s="18" t="n">
        <v>0.98</v>
      </c>
      <c r="K70" s="9" t="s">
        <v>85</v>
      </c>
    </row>
    <row r="71" customFormat="false" ht="15" hidden="false" customHeight="false" outlineLevel="0" collapsed="false">
      <c r="A71" s="9" t="s">
        <v>47</v>
      </c>
      <c r="B71" s="9" t="s">
        <v>91</v>
      </c>
      <c r="C71" s="9" t="s">
        <v>90</v>
      </c>
      <c r="D71" s="9" t="s">
        <v>64</v>
      </c>
      <c r="E71" s="9" t="n">
        <v>155</v>
      </c>
      <c r="F71" s="9" t="n">
        <v>148</v>
      </c>
      <c r="G71" s="9" t="n">
        <v>7</v>
      </c>
      <c r="H71" s="9" t="n">
        <v>0</v>
      </c>
      <c r="I71" s="18" t="n">
        <v>0.9548</v>
      </c>
      <c r="J71" s="18" t="n">
        <v>0.98</v>
      </c>
      <c r="K71" s="9" t="s">
        <v>83</v>
      </c>
    </row>
    <row r="72" customFormat="false" ht="15" hidden="false" customHeight="false" outlineLevel="0" collapsed="false">
      <c r="A72" s="9" t="s">
        <v>47</v>
      </c>
      <c r="B72" s="9" t="s">
        <v>91</v>
      </c>
      <c r="C72" s="9" t="s">
        <v>90</v>
      </c>
      <c r="D72" s="9" t="s">
        <v>65</v>
      </c>
      <c r="E72" s="9" t="n">
        <v>150</v>
      </c>
      <c r="F72" s="9" t="n">
        <v>143</v>
      </c>
      <c r="G72" s="9" t="n">
        <v>7</v>
      </c>
      <c r="H72" s="9" t="n">
        <v>0</v>
      </c>
      <c r="I72" s="18" t="n">
        <v>0.9533</v>
      </c>
      <c r="J72" s="18" t="n">
        <v>0.98</v>
      </c>
      <c r="K72" s="9" t="s">
        <v>83</v>
      </c>
    </row>
    <row r="73" customFormat="false" ht="15" hidden="false" customHeight="false" outlineLevel="0" collapsed="false">
      <c r="A73" s="9" t="s">
        <v>47</v>
      </c>
      <c r="B73" s="9" t="s">
        <v>91</v>
      </c>
      <c r="C73" s="9" t="s">
        <v>90</v>
      </c>
      <c r="D73" s="9" t="s">
        <v>66</v>
      </c>
      <c r="E73" s="9" t="n">
        <v>148</v>
      </c>
      <c r="F73" s="9" t="n">
        <v>141</v>
      </c>
      <c r="G73" s="9" t="n">
        <v>7</v>
      </c>
      <c r="H73" s="9" t="n">
        <v>0</v>
      </c>
      <c r="I73" s="18" t="n">
        <v>0.9527</v>
      </c>
      <c r="J73" s="18" t="n">
        <v>0.98</v>
      </c>
      <c r="K73" s="9" t="s">
        <v>83</v>
      </c>
    </row>
    <row r="74" customFormat="false" ht="15" hidden="false" customHeight="false" outlineLevel="0" collapsed="false">
      <c r="A74" s="9" t="s">
        <v>47</v>
      </c>
      <c r="B74" s="9" t="s">
        <v>91</v>
      </c>
      <c r="C74" s="9" t="s">
        <v>90</v>
      </c>
      <c r="D74" s="9" t="s">
        <v>67</v>
      </c>
      <c r="E74" s="9" t="n">
        <v>153</v>
      </c>
      <c r="F74" s="9" t="n">
        <v>146</v>
      </c>
      <c r="G74" s="9" t="n">
        <v>7</v>
      </c>
      <c r="H74" s="9" t="n">
        <v>0</v>
      </c>
      <c r="I74" s="18" t="n">
        <v>0.9542</v>
      </c>
      <c r="J74" s="18" t="n">
        <v>0.98</v>
      </c>
      <c r="K74" s="9" t="s">
        <v>83</v>
      </c>
    </row>
    <row r="75" customFormat="false" ht="15" hidden="false" customHeight="false" outlineLevel="0" collapsed="false">
      <c r="A75" s="9" t="s">
        <v>47</v>
      </c>
      <c r="B75" s="9" t="s">
        <v>91</v>
      </c>
      <c r="C75" s="9" t="s">
        <v>90</v>
      </c>
      <c r="D75" s="9" t="s">
        <v>68</v>
      </c>
      <c r="E75" s="9" t="n">
        <v>118</v>
      </c>
      <c r="F75" s="9" t="n">
        <v>113</v>
      </c>
      <c r="G75" s="9" t="n">
        <v>5</v>
      </c>
      <c r="H75" s="9" t="n">
        <v>0</v>
      </c>
      <c r="I75" s="18" t="n">
        <v>0.9576</v>
      </c>
      <c r="J75" s="18" t="n">
        <v>0.98</v>
      </c>
      <c r="K75" s="9" t="s">
        <v>83</v>
      </c>
    </row>
    <row r="76" customFormat="false" ht="15" hidden="false" customHeight="false" outlineLevel="0" collapsed="false">
      <c r="A76" s="9" t="s">
        <v>48</v>
      </c>
      <c r="B76" s="9" t="s">
        <v>92</v>
      </c>
      <c r="C76" s="9" t="s">
        <v>93</v>
      </c>
      <c r="D76" s="9" t="s">
        <v>56</v>
      </c>
      <c r="E76" s="9" t="n">
        <v>440</v>
      </c>
      <c r="F76" s="9" t="n">
        <v>430</v>
      </c>
      <c r="G76" s="9" t="n">
        <v>10</v>
      </c>
      <c r="H76" s="9" t="n">
        <v>0</v>
      </c>
      <c r="I76" s="18" t="n">
        <v>0.9773</v>
      </c>
      <c r="J76" s="18" t="n">
        <v>0.97</v>
      </c>
      <c r="K76" s="9" t="s">
        <v>85</v>
      </c>
    </row>
    <row r="77" customFormat="false" ht="15" hidden="false" customHeight="false" outlineLevel="0" collapsed="false">
      <c r="A77" s="9" t="s">
        <v>48</v>
      </c>
      <c r="B77" s="9" t="s">
        <v>92</v>
      </c>
      <c r="C77" s="9" t="s">
        <v>93</v>
      </c>
      <c r="D77" s="9" t="s">
        <v>57</v>
      </c>
      <c r="E77" s="9" t="n">
        <v>460</v>
      </c>
      <c r="F77" s="9" t="n">
        <v>455</v>
      </c>
      <c r="G77" s="9" t="n">
        <v>5</v>
      </c>
      <c r="H77" s="9" t="n">
        <v>0</v>
      </c>
      <c r="I77" s="18" t="n">
        <v>0.9891</v>
      </c>
      <c r="J77" s="18" t="n">
        <v>0.97</v>
      </c>
      <c r="K77" s="9" t="s">
        <v>85</v>
      </c>
    </row>
    <row r="78" customFormat="false" ht="15" hidden="false" customHeight="false" outlineLevel="0" collapsed="false">
      <c r="A78" s="9" t="s">
        <v>48</v>
      </c>
      <c r="B78" s="9" t="s">
        <v>92</v>
      </c>
      <c r="C78" s="9" t="s">
        <v>93</v>
      </c>
      <c r="D78" s="9" t="s">
        <v>58</v>
      </c>
      <c r="E78" s="9" t="n">
        <v>400</v>
      </c>
      <c r="F78" s="9" t="n">
        <v>394</v>
      </c>
      <c r="G78" s="9" t="n">
        <v>6</v>
      </c>
      <c r="H78" s="9" t="n">
        <v>0</v>
      </c>
      <c r="I78" s="18" t="n">
        <v>0.985</v>
      </c>
      <c r="J78" s="18" t="n">
        <v>0.97</v>
      </c>
      <c r="K78" s="9" t="s">
        <v>85</v>
      </c>
    </row>
    <row r="79" customFormat="false" ht="15" hidden="false" customHeight="false" outlineLevel="0" collapsed="false">
      <c r="A79" s="9" t="s">
        <v>48</v>
      </c>
      <c r="B79" s="9" t="s">
        <v>92</v>
      </c>
      <c r="C79" s="9" t="s">
        <v>93</v>
      </c>
      <c r="D79" s="9" t="s">
        <v>59</v>
      </c>
      <c r="E79" s="9" t="n">
        <v>460</v>
      </c>
      <c r="F79" s="9" t="n">
        <v>452</v>
      </c>
      <c r="G79" s="9" t="n">
        <v>8</v>
      </c>
      <c r="H79" s="9" t="n">
        <v>0</v>
      </c>
      <c r="I79" s="18" t="n">
        <v>0.9826</v>
      </c>
      <c r="J79" s="18" t="n">
        <v>0.97</v>
      </c>
      <c r="K79" s="9" t="s">
        <v>85</v>
      </c>
    </row>
    <row r="80" customFormat="false" ht="15" hidden="false" customHeight="false" outlineLevel="0" collapsed="false">
      <c r="A80" s="9" t="s">
        <v>48</v>
      </c>
      <c r="B80" s="9" t="s">
        <v>92</v>
      </c>
      <c r="C80" s="9" t="s">
        <v>93</v>
      </c>
      <c r="D80" s="9" t="s">
        <v>60</v>
      </c>
      <c r="E80" s="9" t="n">
        <v>440</v>
      </c>
      <c r="F80" s="9" t="n">
        <v>431</v>
      </c>
      <c r="G80" s="9" t="n">
        <v>9</v>
      </c>
      <c r="H80" s="9" t="n">
        <v>0</v>
      </c>
      <c r="I80" s="18" t="n">
        <v>0.9795</v>
      </c>
      <c r="J80" s="18" t="n">
        <v>0.97</v>
      </c>
      <c r="K80" s="9" t="s">
        <v>85</v>
      </c>
    </row>
    <row r="81" customFormat="false" ht="15" hidden="false" customHeight="false" outlineLevel="0" collapsed="false">
      <c r="A81" s="9" t="s">
        <v>48</v>
      </c>
      <c r="B81" s="9" t="s">
        <v>92</v>
      </c>
      <c r="C81" s="9" t="s">
        <v>93</v>
      </c>
      <c r="D81" s="9" t="s">
        <v>61</v>
      </c>
      <c r="E81" s="9" t="n">
        <v>400</v>
      </c>
      <c r="F81" s="9" t="n">
        <v>394</v>
      </c>
      <c r="G81" s="9" t="n">
        <v>6</v>
      </c>
      <c r="H81" s="9" t="n">
        <v>0</v>
      </c>
      <c r="I81" s="18" t="n">
        <v>0.985</v>
      </c>
      <c r="J81" s="18" t="n">
        <v>0.97</v>
      </c>
      <c r="K81" s="9" t="s">
        <v>85</v>
      </c>
    </row>
    <row r="82" customFormat="false" ht="15" hidden="false" customHeight="false" outlineLevel="0" collapsed="false">
      <c r="A82" s="9" t="s">
        <v>48</v>
      </c>
      <c r="B82" s="9" t="s">
        <v>92</v>
      </c>
      <c r="C82" s="9" t="s">
        <v>93</v>
      </c>
      <c r="D82" s="9" t="s">
        <v>62</v>
      </c>
      <c r="E82" s="9" t="n">
        <v>440</v>
      </c>
      <c r="F82" s="9" t="n">
        <v>429</v>
      </c>
      <c r="G82" s="9" t="n">
        <v>11</v>
      </c>
      <c r="H82" s="9" t="n">
        <v>0</v>
      </c>
      <c r="I82" s="18" t="n">
        <v>0.975</v>
      </c>
      <c r="J82" s="18" t="n">
        <v>0.97</v>
      </c>
      <c r="K82" s="9" t="s">
        <v>85</v>
      </c>
    </row>
    <row r="83" customFormat="false" ht="15" hidden="false" customHeight="false" outlineLevel="0" collapsed="false">
      <c r="A83" s="9" t="s">
        <v>48</v>
      </c>
      <c r="B83" s="9" t="s">
        <v>92</v>
      </c>
      <c r="C83" s="9" t="s">
        <v>93</v>
      </c>
      <c r="D83" s="9" t="s">
        <v>63</v>
      </c>
      <c r="E83" s="9" t="n">
        <v>440</v>
      </c>
      <c r="F83" s="9" t="n">
        <v>434</v>
      </c>
      <c r="G83" s="9" t="n">
        <v>6</v>
      </c>
      <c r="H83" s="9" t="n">
        <v>0</v>
      </c>
      <c r="I83" s="18" t="n">
        <v>0.9864</v>
      </c>
      <c r="J83" s="18" t="n">
        <v>0.97</v>
      </c>
      <c r="K83" s="9" t="s">
        <v>85</v>
      </c>
    </row>
    <row r="84" customFormat="false" ht="15" hidden="false" customHeight="false" outlineLevel="0" collapsed="false">
      <c r="A84" s="9" t="s">
        <v>48</v>
      </c>
      <c r="B84" s="9" t="s">
        <v>92</v>
      </c>
      <c r="C84" s="9" t="s">
        <v>93</v>
      </c>
      <c r="D84" s="9" t="s">
        <v>64</v>
      </c>
      <c r="E84" s="9" t="n">
        <v>420</v>
      </c>
      <c r="F84" s="9" t="n">
        <v>410</v>
      </c>
      <c r="G84" s="9" t="n">
        <v>10</v>
      </c>
      <c r="H84" s="9" t="n">
        <v>0</v>
      </c>
      <c r="I84" s="18" t="n">
        <v>0.9762</v>
      </c>
      <c r="J84" s="18" t="n">
        <v>0.97</v>
      </c>
      <c r="K84" s="9" t="s">
        <v>85</v>
      </c>
    </row>
    <row r="85" customFormat="false" ht="15" hidden="false" customHeight="false" outlineLevel="0" collapsed="false">
      <c r="A85" s="9" t="s">
        <v>48</v>
      </c>
      <c r="B85" s="9" t="s">
        <v>92</v>
      </c>
      <c r="C85" s="9" t="s">
        <v>93</v>
      </c>
      <c r="D85" s="9" t="s">
        <v>65</v>
      </c>
      <c r="E85" s="9" t="n">
        <v>440</v>
      </c>
      <c r="F85" s="9" t="n">
        <v>428</v>
      </c>
      <c r="G85" s="9" t="n">
        <v>12</v>
      </c>
      <c r="H85" s="9" t="n">
        <v>0</v>
      </c>
      <c r="I85" s="18" t="n">
        <v>0.9727</v>
      </c>
      <c r="J85" s="18" t="n">
        <v>0.97</v>
      </c>
      <c r="K85" s="9" t="s">
        <v>85</v>
      </c>
    </row>
    <row r="86" customFormat="false" ht="15" hidden="false" customHeight="false" outlineLevel="0" collapsed="false">
      <c r="A86" s="9" t="s">
        <v>48</v>
      </c>
      <c r="B86" s="9" t="s">
        <v>92</v>
      </c>
      <c r="C86" s="9" t="s">
        <v>93</v>
      </c>
      <c r="D86" s="9" t="s">
        <v>66</v>
      </c>
      <c r="E86" s="9" t="n">
        <v>460</v>
      </c>
      <c r="F86" s="9" t="n">
        <v>450</v>
      </c>
      <c r="G86" s="9" t="n">
        <v>10</v>
      </c>
      <c r="H86" s="9" t="n">
        <v>0</v>
      </c>
      <c r="I86" s="18" t="n">
        <v>0.9783</v>
      </c>
      <c r="J86" s="18" t="n">
        <v>0.97</v>
      </c>
      <c r="K86" s="9" t="s">
        <v>85</v>
      </c>
    </row>
    <row r="87" customFormat="false" ht="15" hidden="false" customHeight="false" outlineLevel="0" collapsed="false">
      <c r="A87" s="9" t="s">
        <v>48</v>
      </c>
      <c r="B87" s="9" t="s">
        <v>92</v>
      </c>
      <c r="C87" s="9" t="s">
        <v>93</v>
      </c>
      <c r="D87" s="9" t="s">
        <v>67</v>
      </c>
      <c r="E87" s="9" t="n">
        <v>420</v>
      </c>
      <c r="F87" s="9" t="n">
        <v>410</v>
      </c>
      <c r="G87" s="9" t="n">
        <v>10</v>
      </c>
      <c r="H87" s="9" t="n">
        <v>0</v>
      </c>
      <c r="I87" s="18" t="n">
        <v>0.9762</v>
      </c>
      <c r="J87" s="18" t="n">
        <v>0.97</v>
      </c>
      <c r="K87" s="9" t="s">
        <v>85</v>
      </c>
    </row>
    <row r="88" customFormat="false" ht="15" hidden="false" customHeight="false" outlineLevel="0" collapsed="false">
      <c r="A88" s="9" t="s">
        <v>49</v>
      </c>
      <c r="B88" s="9" t="s">
        <v>94</v>
      </c>
      <c r="C88" s="9" t="s">
        <v>93</v>
      </c>
      <c r="D88" s="9" t="s">
        <v>56</v>
      </c>
      <c r="E88" s="9" t="n">
        <v>10</v>
      </c>
      <c r="F88" s="9" t="n">
        <v>8</v>
      </c>
      <c r="G88" s="9" t="n">
        <v>2</v>
      </c>
      <c r="H88" s="9" t="n">
        <v>0</v>
      </c>
      <c r="I88" s="18" t="n">
        <v>0.8</v>
      </c>
      <c r="J88" s="18" t="n">
        <v>0.9</v>
      </c>
      <c r="K88" s="9" t="s">
        <v>82</v>
      </c>
    </row>
    <row r="89" customFormat="false" ht="15" hidden="false" customHeight="false" outlineLevel="0" collapsed="false">
      <c r="A89" s="9" t="s">
        <v>49</v>
      </c>
      <c r="B89" s="9" t="s">
        <v>94</v>
      </c>
      <c r="C89" s="9" t="s">
        <v>93</v>
      </c>
      <c r="D89" s="9" t="s">
        <v>57</v>
      </c>
      <c r="E89" s="9" t="n">
        <v>5</v>
      </c>
      <c r="F89" s="9" t="n">
        <v>5</v>
      </c>
      <c r="G89" s="9" t="n">
        <v>0</v>
      </c>
      <c r="H89" s="9" t="n">
        <v>0</v>
      </c>
      <c r="I89" s="18" t="n">
        <v>1</v>
      </c>
      <c r="J89" s="18" t="n">
        <v>0.9</v>
      </c>
      <c r="K89" s="9" t="s">
        <v>85</v>
      </c>
    </row>
    <row r="90" customFormat="false" ht="15" hidden="false" customHeight="false" outlineLevel="0" collapsed="false">
      <c r="A90" s="9" t="s">
        <v>49</v>
      </c>
      <c r="B90" s="9" t="s">
        <v>94</v>
      </c>
      <c r="C90" s="9" t="s">
        <v>93</v>
      </c>
      <c r="D90" s="9" t="s">
        <v>58</v>
      </c>
      <c r="E90" s="9" t="n">
        <v>6</v>
      </c>
      <c r="F90" s="9" t="n">
        <v>5</v>
      </c>
      <c r="G90" s="9" t="n">
        <v>1</v>
      </c>
      <c r="H90" s="9" t="n">
        <v>0</v>
      </c>
      <c r="I90" s="18" t="n">
        <v>0.8333</v>
      </c>
      <c r="J90" s="18" t="n">
        <v>0.9</v>
      </c>
      <c r="K90" s="9" t="s">
        <v>82</v>
      </c>
    </row>
    <row r="91" customFormat="false" ht="15" hidden="false" customHeight="false" outlineLevel="0" collapsed="false">
      <c r="A91" s="9" t="s">
        <v>49</v>
      </c>
      <c r="B91" s="9" t="s">
        <v>94</v>
      </c>
      <c r="C91" s="9" t="s">
        <v>93</v>
      </c>
      <c r="D91" s="9" t="s">
        <v>59</v>
      </c>
      <c r="E91" s="9" t="n">
        <v>8</v>
      </c>
      <c r="F91" s="9" t="n">
        <v>8</v>
      </c>
      <c r="G91" s="9" t="n">
        <v>0</v>
      </c>
      <c r="H91" s="9" t="n">
        <v>0</v>
      </c>
      <c r="I91" s="18" t="n">
        <v>1</v>
      </c>
      <c r="J91" s="18" t="n">
        <v>0.9</v>
      </c>
      <c r="K91" s="9" t="s">
        <v>85</v>
      </c>
    </row>
    <row r="92" customFormat="false" ht="15" hidden="false" customHeight="false" outlineLevel="0" collapsed="false">
      <c r="A92" s="9" t="s">
        <v>49</v>
      </c>
      <c r="B92" s="9" t="s">
        <v>94</v>
      </c>
      <c r="C92" s="9" t="s">
        <v>93</v>
      </c>
      <c r="D92" s="9" t="s">
        <v>60</v>
      </c>
      <c r="E92" s="9" t="n">
        <v>9</v>
      </c>
      <c r="F92" s="9" t="n">
        <v>9</v>
      </c>
      <c r="G92" s="9" t="n">
        <v>0</v>
      </c>
      <c r="H92" s="9" t="n">
        <v>0</v>
      </c>
      <c r="I92" s="18" t="n">
        <v>1</v>
      </c>
      <c r="J92" s="18" t="n">
        <v>0.9</v>
      </c>
      <c r="K92" s="9" t="s">
        <v>85</v>
      </c>
    </row>
    <row r="93" customFormat="false" ht="15" hidden="false" customHeight="false" outlineLevel="0" collapsed="false">
      <c r="A93" s="9" t="s">
        <v>49</v>
      </c>
      <c r="B93" s="9" t="s">
        <v>94</v>
      </c>
      <c r="C93" s="9" t="s">
        <v>93</v>
      </c>
      <c r="D93" s="9" t="s">
        <v>61</v>
      </c>
      <c r="E93" s="9" t="n">
        <v>6</v>
      </c>
      <c r="F93" s="9" t="n">
        <v>4</v>
      </c>
      <c r="G93" s="9" t="n">
        <v>2</v>
      </c>
      <c r="H93" s="9" t="n">
        <v>0</v>
      </c>
      <c r="I93" s="18" t="n">
        <v>0.6667</v>
      </c>
      <c r="J93" s="18" t="n">
        <v>0.9</v>
      </c>
      <c r="K93" s="9" t="s">
        <v>82</v>
      </c>
    </row>
    <row r="94" customFormat="false" ht="15" hidden="false" customHeight="false" outlineLevel="0" collapsed="false">
      <c r="A94" s="9" t="s">
        <v>49</v>
      </c>
      <c r="B94" s="9" t="s">
        <v>94</v>
      </c>
      <c r="C94" s="9" t="s">
        <v>93</v>
      </c>
      <c r="D94" s="9" t="s">
        <v>62</v>
      </c>
      <c r="E94" s="9" t="n">
        <v>11</v>
      </c>
      <c r="F94" s="9" t="n">
        <v>11</v>
      </c>
      <c r="G94" s="9" t="n">
        <v>0</v>
      </c>
      <c r="H94" s="9" t="n">
        <v>0</v>
      </c>
      <c r="I94" s="18" t="n">
        <v>1</v>
      </c>
      <c r="J94" s="18" t="n">
        <v>0.9</v>
      </c>
      <c r="K94" s="9" t="s">
        <v>85</v>
      </c>
    </row>
    <row r="95" customFormat="false" ht="15" hidden="false" customHeight="false" outlineLevel="0" collapsed="false">
      <c r="A95" s="9" t="s">
        <v>49</v>
      </c>
      <c r="B95" s="9" t="s">
        <v>94</v>
      </c>
      <c r="C95" s="9" t="s">
        <v>93</v>
      </c>
      <c r="D95" s="9" t="s">
        <v>63</v>
      </c>
      <c r="E95" s="9" t="n">
        <v>6</v>
      </c>
      <c r="F95" s="9" t="n">
        <v>6</v>
      </c>
      <c r="G95" s="9" t="n">
        <v>0</v>
      </c>
      <c r="H95" s="9" t="n">
        <v>0</v>
      </c>
      <c r="I95" s="18" t="n">
        <v>1</v>
      </c>
      <c r="J95" s="18" t="n">
        <v>0.9</v>
      </c>
      <c r="K95" s="9" t="s">
        <v>85</v>
      </c>
    </row>
    <row r="96" customFormat="false" ht="15" hidden="false" customHeight="false" outlineLevel="0" collapsed="false">
      <c r="A96" s="9" t="s">
        <v>49</v>
      </c>
      <c r="B96" s="9" t="s">
        <v>94</v>
      </c>
      <c r="C96" s="9" t="s">
        <v>93</v>
      </c>
      <c r="D96" s="9" t="s">
        <v>64</v>
      </c>
      <c r="E96" s="9" t="n">
        <v>10</v>
      </c>
      <c r="F96" s="9" t="n">
        <v>8</v>
      </c>
      <c r="G96" s="9" t="n">
        <v>2</v>
      </c>
      <c r="H96" s="9" t="n">
        <v>0</v>
      </c>
      <c r="I96" s="18" t="n">
        <v>0.8</v>
      </c>
      <c r="J96" s="18" t="n">
        <v>0.9</v>
      </c>
      <c r="K96" s="9" t="s">
        <v>82</v>
      </c>
    </row>
    <row r="97" customFormat="false" ht="15" hidden="false" customHeight="false" outlineLevel="0" collapsed="false">
      <c r="A97" s="9" t="s">
        <v>49</v>
      </c>
      <c r="B97" s="9" t="s">
        <v>94</v>
      </c>
      <c r="C97" s="9" t="s">
        <v>93</v>
      </c>
      <c r="D97" s="9" t="s">
        <v>65</v>
      </c>
      <c r="E97" s="9" t="n">
        <v>12</v>
      </c>
      <c r="F97" s="9" t="n">
        <v>12</v>
      </c>
      <c r="G97" s="9" t="n">
        <v>0</v>
      </c>
      <c r="H97" s="9" t="n">
        <v>0</v>
      </c>
      <c r="I97" s="18" t="n">
        <v>1</v>
      </c>
      <c r="J97" s="18" t="n">
        <v>0.9</v>
      </c>
      <c r="K97" s="9" t="s">
        <v>85</v>
      </c>
    </row>
    <row r="98" customFormat="false" ht="15" hidden="false" customHeight="false" outlineLevel="0" collapsed="false">
      <c r="A98" s="9" t="s">
        <v>49</v>
      </c>
      <c r="B98" s="9" t="s">
        <v>94</v>
      </c>
      <c r="C98" s="9" t="s">
        <v>93</v>
      </c>
      <c r="D98" s="9" t="s">
        <v>66</v>
      </c>
      <c r="E98" s="9" t="n">
        <v>10</v>
      </c>
      <c r="F98" s="9" t="n">
        <v>9</v>
      </c>
      <c r="G98" s="9" t="n">
        <v>1</v>
      </c>
      <c r="H98" s="9" t="n">
        <v>0</v>
      </c>
      <c r="I98" s="18" t="n">
        <v>0.9</v>
      </c>
      <c r="J98" s="18" t="n">
        <v>0.9</v>
      </c>
      <c r="K98" s="9" t="s">
        <v>85</v>
      </c>
    </row>
    <row r="99" customFormat="false" ht="15" hidden="false" customHeight="false" outlineLevel="0" collapsed="false">
      <c r="A99" s="9" t="s">
        <v>49</v>
      </c>
      <c r="B99" s="9" t="s">
        <v>94</v>
      </c>
      <c r="C99" s="9" t="s">
        <v>93</v>
      </c>
      <c r="D99" s="9" t="s">
        <v>67</v>
      </c>
      <c r="E99" s="9" t="n">
        <v>10</v>
      </c>
      <c r="F99" s="9" t="n">
        <v>6</v>
      </c>
      <c r="G99" s="9" t="n">
        <v>4</v>
      </c>
      <c r="H99" s="9" t="n">
        <v>0</v>
      </c>
      <c r="I99" s="18" t="n">
        <v>0.6</v>
      </c>
      <c r="J99" s="18" t="n">
        <v>0.9</v>
      </c>
      <c r="K99" s="9" t="s">
        <v>82</v>
      </c>
    </row>
    <row r="100" customFormat="false" ht="15" hidden="false" customHeight="false" outlineLevel="0" collapsed="false">
      <c r="A100" s="9" t="s">
        <v>52</v>
      </c>
      <c r="B100" s="9" t="s">
        <v>95</v>
      </c>
      <c r="C100" s="9" t="s">
        <v>96</v>
      </c>
      <c r="D100" s="9" t="s">
        <v>67</v>
      </c>
      <c r="E100" s="9" t="n">
        <v>450</v>
      </c>
      <c r="F100" s="9" t="n">
        <v>424</v>
      </c>
      <c r="G100" s="9" t="n">
        <v>26</v>
      </c>
      <c r="H100" s="9" t="n">
        <v>0</v>
      </c>
      <c r="I100" s="18" t="n">
        <v>0.9422</v>
      </c>
      <c r="J100" s="18" t="n">
        <v>0.93</v>
      </c>
      <c r="K100" s="9" t="s">
        <v>85</v>
      </c>
    </row>
    <row r="101" customFormat="false" ht="15" hidden="false" customHeight="false" outlineLevel="0" collapsed="false">
      <c r="A101" s="9" t="s">
        <v>53</v>
      </c>
      <c r="B101" s="9" t="s">
        <v>97</v>
      </c>
      <c r="C101" s="9" t="s">
        <v>96</v>
      </c>
      <c r="D101" s="9" t="s">
        <v>56</v>
      </c>
      <c r="E101" s="9" t="n">
        <v>13</v>
      </c>
      <c r="F101" s="9" t="n">
        <v>13</v>
      </c>
      <c r="G101" s="9" t="n">
        <v>0</v>
      </c>
      <c r="H101" s="9" t="n">
        <v>0</v>
      </c>
      <c r="I101" s="18" t="n">
        <v>1</v>
      </c>
      <c r="J101" s="18" t="n">
        <v>0.95</v>
      </c>
      <c r="K101" s="9" t="s">
        <v>85</v>
      </c>
    </row>
    <row r="102" customFormat="false" ht="15" hidden="false" customHeight="false" outlineLevel="0" collapsed="false">
      <c r="A102" s="9" t="s">
        <v>53</v>
      </c>
      <c r="B102" s="9" t="s">
        <v>97</v>
      </c>
      <c r="C102" s="9" t="s">
        <v>96</v>
      </c>
      <c r="D102" s="9" t="s">
        <v>57</v>
      </c>
      <c r="E102" s="9" t="n">
        <v>9</v>
      </c>
      <c r="F102" s="9" t="n">
        <v>8</v>
      </c>
      <c r="G102" s="9" t="n">
        <v>1</v>
      </c>
      <c r="H102" s="9" t="n">
        <v>0</v>
      </c>
      <c r="I102" s="18" t="n">
        <v>0.8889</v>
      </c>
      <c r="J102" s="18" t="n">
        <v>0.95</v>
      </c>
      <c r="K102" s="9" t="s">
        <v>82</v>
      </c>
    </row>
    <row r="103" customFormat="false" ht="15" hidden="false" customHeight="false" outlineLevel="0" collapsed="false">
      <c r="A103" s="9" t="s">
        <v>53</v>
      </c>
      <c r="B103" s="9" t="s">
        <v>97</v>
      </c>
      <c r="C103" s="9" t="s">
        <v>96</v>
      </c>
      <c r="D103" s="9" t="s">
        <v>58</v>
      </c>
      <c r="E103" s="9" t="n">
        <v>10</v>
      </c>
      <c r="F103" s="9" t="n">
        <v>10</v>
      </c>
      <c r="G103" s="9" t="n">
        <v>0</v>
      </c>
      <c r="H103" s="9" t="n">
        <v>0</v>
      </c>
      <c r="I103" s="18" t="n">
        <v>1</v>
      </c>
      <c r="J103" s="18" t="n">
        <v>0.95</v>
      </c>
      <c r="K103" s="9" t="s">
        <v>85</v>
      </c>
    </row>
    <row r="104" customFormat="false" ht="15" hidden="false" customHeight="false" outlineLevel="0" collapsed="false">
      <c r="A104" s="9" t="s">
        <v>53</v>
      </c>
      <c r="B104" s="9" t="s">
        <v>97</v>
      </c>
      <c r="C104" s="9" t="s">
        <v>96</v>
      </c>
      <c r="D104" s="9" t="s">
        <v>59</v>
      </c>
      <c r="E104" s="9" t="n">
        <v>21</v>
      </c>
      <c r="F104" s="9" t="n">
        <v>20</v>
      </c>
      <c r="G104" s="9" t="n">
        <v>1</v>
      </c>
      <c r="H104" s="9" t="n">
        <v>0</v>
      </c>
      <c r="I104" s="18" t="n">
        <v>0.9524</v>
      </c>
      <c r="J104" s="18" t="n">
        <v>0.95</v>
      </c>
      <c r="K104" s="9" t="s">
        <v>85</v>
      </c>
    </row>
    <row r="105" customFormat="false" ht="15" hidden="false" customHeight="false" outlineLevel="0" collapsed="false">
      <c r="A105" s="9" t="s">
        <v>53</v>
      </c>
      <c r="B105" s="9" t="s">
        <v>97</v>
      </c>
      <c r="C105" s="9" t="s">
        <v>96</v>
      </c>
      <c r="D105" s="9" t="s">
        <v>60</v>
      </c>
      <c r="E105" s="9" t="n">
        <v>13</v>
      </c>
      <c r="F105" s="9" t="n">
        <v>12</v>
      </c>
      <c r="G105" s="9" t="n">
        <v>1</v>
      </c>
      <c r="H105" s="9" t="n">
        <v>0</v>
      </c>
      <c r="I105" s="18" t="n">
        <v>0.9231</v>
      </c>
      <c r="J105" s="18" t="n">
        <v>0.95</v>
      </c>
      <c r="K105" s="9" t="s">
        <v>83</v>
      </c>
    </row>
    <row r="106" customFormat="false" ht="15" hidden="false" customHeight="false" outlineLevel="0" collapsed="false">
      <c r="A106" s="9" t="s">
        <v>53</v>
      </c>
      <c r="B106" s="9" t="s">
        <v>97</v>
      </c>
      <c r="C106" s="9" t="s">
        <v>96</v>
      </c>
      <c r="D106" s="9" t="s">
        <v>61</v>
      </c>
      <c r="E106" s="9" t="n">
        <v>11</v>
      </c>
      <c r="F106" s="9" t="n">
        <v>9</v>
      </c>
      <c r="G106" s="9" t="n">
        <v>2</v>
      </c>
      <c r="H106" s="9" t="n">
        <v>0</v>
      </c>
      <c r="I106" s="18" t="n">
        <v>0.8182</v>
      </c>
      <c r="J106" s="18" t="n">
        <v>0.95</v>
      </c>
      <c r="K106" s="9" t="s">
        <v>82</v>
      </c>
    </row>
    <row r="107" customFormat="false" ht="15" hidden="false" customHeight="false" outlineLevel="0" collapsed="false">
      <c r="A107" s="9" t="s">
        <v>53</v>
      </c>
      <c r="B107" s="9" t="s">
        <v>97</v>
      </c>
      <c r="C107" s="9" t="s">
        <v>96</v>
      </c>
      <c r="D107" s="9" t="s">
        <v>62</v>
      </c>
      <c r="E107" s="9" t="n">
        <v>12</v>
      </c>
      <c r="F107" s="9" t="n">
        <v>10</v>
      </c>
      <c r="G107" s="9" t="n">
        <v>2</v>
      </c>
      <c r="H107" s="9" t="n">
        <v>0</v>
      </c>
      <c r="I107" s="18" t="n">
        <v>0.8333</v>
      </c>
      <c r="J107" s="18" t="n">
        <v>0.95</v>
      </c>
      <c r="K107" s="9" t="s">
        <v>82</v>
      </c>
    </row>
    <row r="108" customFormat="false" ht="15" hidden="false" customHeight="false" outlineLevel="0" collapsed="false">
      <c r="A108" s="9" t="s">
        <v>53</v>
      </c>
      <c r="B108" s="9" t="s">
        <v>97</v>
      </c>
      <c r="C108" s="9" t="s">
        <v>96</v>
      </c>
      <c r="D108" s="9" t="s">
        <v>63</v>
      </c>
      <c r="E108" s="9" t="n">
        <v>14</v>
      </c>
      <c r="F108" s="9" t="n">
        <v>13</v>
      </c>
      <c r="G108" s="9" t="n">
        <v>1</v>
      </c>
      <c r="H108" s="9" t="n">
        <v>0</v>
      </c>
      <c r="I108" s="18" t="n">
        <v>0.9286</v>
      </c>
      <c r="J108" s="18" t="n">
        <v>0.95</v>
      </c>
      <c r="K108" s="9" t="s">
        <v>83</v>
      </c>
    </row>
    <row r="109" customFormat="false" ht="15" hidden="false" customHeight="false" outlineLevel="0" collapsed="false">
      <c r="A109" s="9" t="s">
        <v>53</v>
      </c>
      <c r="B109" s="9" t="s">
        <v>97</v>
      </c>
      <c r="C109" s="9" t="s">
        <v>96</v>
      </c>
      <c r="D109" s="9" t="s">
        <v>64</v>
      </c>
      <c r="E109" s="9" t="n">
        <v>8</v>
      </c>
      <c r="F109" s="9" t="n">
        <v>8</v>
      </c>
      <c r="G109" s="9" t="n">
        <v>0</v>
      </c>
      <c r="H109" s="9" t="n">
        <v>0</v>
      </c>
      <c r="I109" s="18" t="n">
        <v>1</v>
      </c>
      <c r="J109" s="18" t="n">
        <v>0.95</v>
      </c>
      <c r="K109" s="9" t="s">
        <v>85</v>
      </c>
    </row>
    <row r="110" customFormat="false" ht="15" hidden="false" customHeight="false" outlineLevel="0" collapsed="false">
      <c r="A110" s="9" t="s">
        <v>53</v>
      </c>
      <c r="B110" s="9" t="s">
        <v>97</v>
      </c>
      <c r="C110" s="9" t="s">
        <v>96</v>
      </c>
      <c r="D110" s="9" t="s">
        <v>65</v>
      </c>
      <c r="E110" s="9" t="n">
        <v>10</v>
      </c>
      <c r="F110" s="9" t="n">
        <v>9</v>
      </c>
      <c r="G110" s="9" t="n">
        <v>1</v>
      </c>
      <c r="H110" s="9" t="n">
        <v>0</v>
      </c>
      <c r="I110" s="18" t="n">
        <v>0.9</v>
      </c>
      <c r="J110" s="18" t="n">
        <v>0.95</v>
      </c>
      <c r="K110" s="9" t="s">
        <v>82</v>
      </c>
    </row>
    <row r="111" customFormat="false" ht="15" hidden="false" customHeight="false" outlineLevel="0" collapsed="false">
      <c r="A111" s="9" t="s">
        <v>53</v>
      </c>
      <c r="B111" s="9" t="s">
        <v>97</v>
      </c>
      <c r="C111" s="9" t="s">
        <v>96</v>
      </c>
      <c r="D111" s="9" t="s">
        <v>66</v>
      </c>
      <c r="E111" s="9" t="n">
        <v>19</v>
      </c>
      <c r="F111" s="9" t="n">
        <v>19</v>
      </c>
      <c r="G111" s="9" t="n">
        <v>0</v>
      </c>
      <c r="H111" s="9" t="n">
        <v>0</v>
      </c>
      <c r="I111" s="18" t="n">
        <v>1</v>
      </c>
      <c r="J111" s="18" t="n">
        <v>0.95</v>
      </c>
      <c r="K111" s="9" t="s">
        <v>85</v>
      </c>
    </row>
    <row r="112" customFormat="false" ht="15" hidden="false" customHeight="false" outlineLevel="0" collapsed="false">
      <c r="A112" s="9" t="s">
        <v>53</v>
      </c>
      <c r="B112" s="9" t="s">
        <v>97</v>
      </c>
      <c r="C112" s="9" t="s">
        <v>96</v>
      </c>
      <c r="D112" s="9" t="s">
        <v>67</v>
      </c>
      <c r="E112" s="9" t="n">
        <v>10</v>
      </c>
      <c r="F112" s="9" t="n">
        <v>10</v>
      </c>
      <c r="G112" s="9" t="n">
        <v>0</v>
      </c>
      <c r="H112" s="9" t="n">
        <v>0</v>
      </c>
      <c r="I112" s="18" t="n">
        <v>1</v>
      </c>
      <c r="J112" s="18" t="n">
        <v>0.95</v>
      </c>
      <c r="K112" s="9" t="s">
        <v>85</v>
      </c>
    </row>
    <row r="113" customFormat="false" ht="15" hidden="false" customHeight="false" outlineLevel="0" collapsed="false">
      <c r="A113" s="9" t="s">
        <v>41</v>
      </c>
      <c r="B113" s="9" t="s">
        <v>98</v>
      </c>
      <c r="C113" s="9" t="s">
        <v>99</v>
      </c>
      <c r="D113" s="9" t="s">
        <v>56</v>
      </c>
      <c r="E113" s="9" t="n">
        <v>1189</v>
      </c>
      <c r="F113" s="9" t="n">
        <v>1174</v>
      </c>
      <c r="G113" s="9" t="n">
        <v>15</v>
      </c>
      <c r="H113" s="9" t="n">
        <v>28</v>
      </c>
      <c r="I113" s="18" t="n">
        <v>0.9874</v>
      </c>
      <c r="J113" s="18" t="n">
        <v>0.97</v>
      </c>
      <c r="K113" s="9" t="s">
        <v>85</v>
      </c>
    </row>
    <row r="114" customFormat="false" ht="15" hidden="false" customHeight="false" outlineLevel="0" collapsed="false">
      <c r="A114" s="9" t="s">
        <v>41</v>
      </c>
      <c r="B114" s="9" t="s">
        <v>98</v>
      </c>
      <c r="C114" s="9" t="s">
        <v>99</v>
      </c>
      <c r="D114" s="9" t="s">
        <v>57</v>
      </c>
      <c r="E114" s="9" t="n">
        <v>1288</v>
      </c>
      <c r="F114" s="9" t="n">
        <v>1273</v>
      </c>
      <c r="G114" s="9" t="n">
        <v>15</v>
      </c>
      <c r="H114" s="9" t="n">
        <v>19</v>
      </c>
      <c r="I114" s="18" t="n">
        <v>0.9884</v>
      </c>
      <c r="J114" s="18" t="n">
        <v>0.97</v>
      </c>
      <c r="K114" s="9" t="s">
        <v>85</v>
      </c>
    </row>
    <row r="115" customFormat="false" ht="15" hidden="false" customHeight="false" outlineLevel="0" collapsed="false">
      <c r="A115" s="9" t="s">
        <v>41</v>
      </c>
      <c r="B115" s="9" t="s">
        <v>98</v>
      </c>
      <c r="C115" s="9" t="s">
        <v>99</v>
      </c>
      <c r="D115" s="9" t="s">
        <v>58</v>
      </c>
      <c r="E115" s="9" t="n">
        <v>1058</v>
      </c>
      <c r="F115" s="9" t="n">
        <v>1047</v>
      </c>
      <c r="G115" s="9" t="n">
        <v>11</v>
      </c>
      <c r="H115" s="9" t="n">
        <v>27</v>
      </c>
      <c r="I115" s="18" t="n">
        <v>0.9896</v>
      </c>
      <c r="J115" s="18" t="n">
        <v>0.97</v>
      </c>
      <c r="K115" s="9" t="s">
        <v>85</v>
      </c>
    </row>
    <row r="116" customFormat="false" ht="15" hidden="false" customHeight="false" outlineLevel="0" collapsed="false">
      <c r="A116" s="9" t="s">
        <v>41</v>
      </c>
      <c r="B116" s="9" t="s">
        <v>98</v>
      </c>
      <c r="C116" s="9" t="s">
        <v>99</v>
      </c>
      <c r="D116" s="9" t="s">
        <v>59</v>
      </c>
      <c r="E116" s="9" t="n">
        <v>1261</v>
      </c>
      <c r="F116" s="9" t="n">
        <v>1249</v>
      </c>
      <c r="G116" s="9" t="n">
        <v>12</v>
      </c>
      <c r="H116" s="9" t="n">
        <v>28</v>
      </c>
      <c r="I116" s="18" t="n">
        <v>0.9905</v>
      </c>
      <c r="J116" s="18" t="n">
        <v>0.97</v>
      </c>
      <c r="K116" s="9" t="s">
        <v>85</v>
      </c>
    </row>
    <row r="117" customFormat="false" ht="15" hidden="false" customHeight="false" outlineLevel="0" collapsed="false">
      <c r="A117" s="9" t="s">
        <v>41</v>
      </c>
      <c r="B117" s="9" t="s">
        <v>98</v>
      </c>
      <c r="C117" s="9" t="s">
        <v>99</v>
      </c>
      <c r="D117" s="9" t="s">
        <v>60</v>
      </c>
      <c r="E117" s="9" t="n">
        <v>1169</v>
      </c>
      <c r="F117" s="9" t="n">
        <v>1159</v>
      </c>
      <c r="G117" s="9" t="n">
        <v>10</v>
      </c>
      <c r="H117" s="9" t="n">
        <v>25</v>
      </c>
      <c r="I117" s="18" t="n">
        <v>0.9914</v>
      </c>
      <c r="J117" s="18" t="n">
        <v>0.97</v>
      </c>
      <c r="K117" s="9" t="s">
        <v>85</v>
      </c>
    </row>
    <row r="118" customFormat="false" ht="15" hidden="false" customHeight="false" outlineLevel="0" collapsed="false">
      <c r="A118" s="9" t="s">
        <v>41</v>
      </c>
      <c r="B118" s="9" t="s">
        <v>98</v>
      </c>
      <c r="C118" s="9" t="s">
        <v>99</v>
      </c>
      <c r="D118" s="9" t="s">
        <v>61</v>
      </c>
      <c r="E118" s="9" t="n">
        <v>1095</v>
      </c>
      <c r="F118" s="9" t="n">
        <v>1084</v>
      </c>
      <c r="G118" s="9" t="n">
        <v>11</v>
      </c>
      <c r="H118" s="9" t="n">
        <v>24</v>
      </c>
      <c r="I118" s="18" t="n">
        <v>0.99</v>
      </c>
      <c r="J118" s="18" t="n">
        <v>0.97</v>
      </c>
      <c r="K118" s="9" t="s">
        <v>85</v>
      </c>
    </row>
    <row r="119" customFormat="false" ht="15" hidden="false" customHeight="false" outlineLevel="0" collapsed="false">
      <c r="A119" s="9" t="s">
        <v>41</v>
      </c>
      <c r="B119" s="9" t="s">
        <v>98</v>
      </c>
      <c r="C119" s="9" t="s">
        <v>99</v>
      </c>
      <c r="D119" s="9" t="s">
        <v>62</v>
      </c>
      <c r="E119" s="9" t="n">
        <v>1156</v>
      </c>
      <c r="F119" s="9" t="n">
        <v>1144</v>
      </c>
      <c r="G119" s="9" t="n">
        <v>12</v>
      </c>
      <c r="H119" s="9" t="n">
        <v>22</v>
      </c>
      <c r="I119" s="18" t="n">
        <v>0.9896</v>
      </c>
      <c r="J119" s="18" t="n">
        <v>0.97</v>
      </c>
      <c r="K119" s="9" t="s">
        <v>85</v>
      </c>
    </row>
    <row r="120" customFormat="false" ht="15" hidden="false" customHeight="false" outlineLevel="0" collapsed="false">
      <c r="A120" s="9" t="s">
        <v>41</v>
      </c>
      <c r="B120" s="9" t="s">
        <v>98</v>
      </c>
      <c r="C120" s="9" t="s">
        <v>99</v>
      </c>
      <c r="D120" s="9" t="s">
        <v>63</v>
      </c>
      <c r="E120" s="9" t="n">
        <v>1156</v>
      </c>
      <c r="F120" s="9" t="n">
        <v>1144</v>
      </c>
      <c r="G120" s="9" t="n">
        <v>12</v>
      </c>
      <c r="H120" s="9" t="n">
        <v>18</v>
      </c>
      <c r="I120" s="18" t="n">
        <v>0.9896</v>
      </c>
      <c r="J120" s="18" t="n">
        <v>0.97</v>
      </c>
      <c r="K120" s="9" t="s">
        <v>85</v>
      </c>
    </row>
    <row r="121" customFormat="false" ht="15" hidden="false" customHeight="false" outlineLevel="0" collapsed="false">
      <c r="A121" s="9" t="s">
        <v>41</v>
      </c>
      <c r="B121" s="9" t="s">
        <v>98</v>
      </c>
      <c r="C121" s="9" t="s">
        <v>99</v>
      </c>
      <c r="D121" s="9" t="s">
        <v>64</v>
      </c>
      <c r="E121" s="9" t="n">
        <v>1095</v>
      </c>
      <c r="F121" s="9" t="n">
        <v>1043</v>
      </c>
      <c r="G121" s="9" t="n">
        <v>52</v>
      </c>
      <c r="H121" s="9" t="n">
        <v>23</v>
      </c>
      <c r="I121" s="18" t="n">
        <v>0.9525</v>
      </c>
      <c r="J121" s="18" t="n">
        <v>0.97</v>
      </c>
      <c r="K121" s="9" t="s">
        <v>83</v>
      </c>
    </row>
    <row r="122" customFormat="false" ht="15" hidden="false" customHeight="false" outlineLevel="0" collapsed="false">
      <c r="A122" s="9" t="s">
        <v>41</v>
      </c>
      <c r="B122" s="9" t="s">
        <v>98</v>
      </c>
      <c r="C122" s="9" t="s">
        <v>99</v>
      </c>
      <c r="D122" s="9" t="s">
        <v>65</v>
      </c>
      <c r="E122" s="9" t="n">
        <v>1177</v>
      </c>
      <c r="F122" s="9" t="n">
        <v>1084</v>
      </c>
      <c r="G122" s="9" t="n">
        <v>93</v>
      </c>
      <c r="H122" s="9" t="n">
        <v>22</v>
      </c>
      <c r="I122" s="18" t="n">
        <v>0.921</v>
      </c>
      <c r="J122" s="18" t="n">
        <v>0.97</v>
      </c>
      <c r="K122" s="9" t="s">
        <v>82</v>
      </c>
    </row>
    <row r="123" customFormat="false" ht="15" hidden="false" customHeight="false" outlineLevel="0" collapsed="false">
      <c r="A123" s="9" t="s">
        <v>41</v>
      </c>
      <c r="B123" s="9" t="s">
        <v>98</v>
      </c>
      <c r="C123" s="9" t="s">
        <v>99</v>
      </c>
      <c r="D123" s="9" t="s">
        <v>66</v>
      </c>
      <c r="E123" s="9" t="n">
        <v>1174</v>
      </c>
      <c r="F123" s="9" t="n">
        <v>1057</v>
      </c>
      <c r="G123" s="9" t="n">
        <v>117</v>
      </c>
      <c r="H123" s="9" t="n">
        <v>23</v>
      </c>
      <c r="I123" s="18" t="n">
        <v>0.9003</v>
      </c>
      <c r="J123" s="18" t="n">
        <v>0.97</v>
      </c>
      <c r="K123" s="9" t="s">
        <v>82</v>
      </c>
    </row>
    <row r="124" customFormat="false" ht="15" hidden="false" customHeight="false" outlineLevel="0" collapsed="false">
      <c r="A124" s="9" t="s">
        <v>41</v>
      </c>
      <c r="B124" s="9" t="s">
        <v>98</v>
      </c>
      <c r="C124" s="9" t="s">
        <v>99</v>
      </c>
      <c r="D124" s="9" t="s">
        <v>67</v>
      </c>
      <c r="E124" s="9" t="n">
        <v>1120</v>
      </c>
      <c r="F124" s="9" t="n">
        <v>957</v>
      </c>
      <c r="G124" s="9" t="n">
        <v>163</v>
      </c>
      <c r="H124" s="9" t="n">
        <v>22</v>
      </c>
      <c r="I124" s="18" t="n">
        <v>0.8545</v>
      </c>
      <c r="J124" s="18" t="n">
        <v>0.97</v>
      </c>
      <c r="K124" s="9" t="s">
        <v>82</v>
      </c>
    </row>
    <row r="125" customFormat="false" ht="15" hidden="false" customHeight="false" outlineLevel="0" collapsed="false">
      <c r="A125" s="9" t="s">
        <v>42</v>
      </c>
      <c r="B125" s="9" t="s">
        <v>100</v>
      </c>
      <c r="C125" s="9" t="s">
        <v>99</v>
      </c>
      <c r="D125" s="9" t="s">
        <v>56</v>
      </c>
      <c r="E125" s="9" t="n">
        <v>1187</v>
      </c>
      <c r="F125" s="9" t="n">
        <v>1165</v>
      </c>
      <c r="G125" s="9" t="n">
        <v>22</v>
      </c>
      <c r="H125" s="9" t="n">
        <v>0</v>
      </c>
      <c r="I125" s="18" t="n">
        <v>0.9815</v>
      </c>
      <c r="J125" s="18" t="n">
        <v>0.98</v>
      </c>
      <c r="K125" s="9" t="s">
        <v>85</v>
      </c>
    </row>
    <row r="126" customFormat="false" ht="15" hidden="false" customHeight="false" outlineLevel="0" collapsed="false">
      <c r="A126" s="9" t="s">
        <v>42</v>
      </c>
      <c r="B126" s="9" t="s">
        <v>100</v>
      </c>
      <c r="C126" s="9" t="s">
        <v>99</v>
      </c>
      <c r="D126" s="9" t="s">
        <v>57</v>
      </c>
      <c r="E126" s="9" t="n">
        <v>1283</v>
      </c>
      <c r="F126" s="9" t="n">
        <v>1251</v>
      </c>
      <c r="G126" s="9" t="n">
        <v>32</v>
      </c>
      <c r="H126" s="9" t="n">
        <v>0</v>
      </c>
      <c r="I126" s="18" t="n">
        <v>0.9751</v>
      </c>
      <c r="J126" s="18" t="n">
        <v>0.98</v>
      </c>
      <c r="K126" s="9" t="s">
        <v>83</v>
      </c>
    </row>
    <row r="127" customFormat="false" ht="15" hidden="false" customHeight="false" outlineLevel="0" collapsed="false">
      <c r="A127" s="9" t="s">
        <v>42</v>
      </c>
      <c r="B127" s="9" t="s">
        <v>100</v>
      </c>
      <c r="C127" s="9" t="s">
        <v>99</v>
      </c>
      <c r="D127" s="9" t="s">
        <v>58</v>
      </c>
      <c r="E127" s="9" t="n">
        <v>1055</v>
      </c>
      <c r="F127" s="9" t="n">
        <v>1041</v>
      </c>
      <c r="G127" s="9" t="n">
        <v>14</v>
      </c>
      <c r="H127" s="9" t="n">
        <v>0</v>
      </c>
      <c r="I127" s="18" t="n">
        <v>0.9867</v>
      </c>
      <c r="J127" s="18" t="n">
        <v>0.98</v>
      </c>
      <c r="K127" s="9" t="s">
        <v>85</v>
      </c>
    </row>
    <row r="128" customFormat="false" ht="15" hidden="false" customHeight="false" outlineLevel="0" collapsed="false">
      <c r="A128" s="9" t="s">
        <v>42</v>
      </c>
      <c r="B128" s="9" t="s">
        <v>100</v>
      </c>
      <c r="C128" s="9" t="s">
        <v>99</v>
      </c>
      <c r="D128" s="9" t="s">
        <v>59</v>
      </c>
      <c r="E128" s="9" t="n">
        <v>1258</v>
      </c>
      <c r="F128" s="9" t="n">
        <v>1239</v>
      </c>
      <c r="G128" s="9" t="n">
        <v>19</v>
      </c>
      <c r="H128" s="9" t="n">
        <v>0</v>
      </c>
      <c r="I128" s="18" t="n">
        <v>0.9849</v>
      </c>
      <c r="J128" s="18" t="n">
        <v>0.98</v>
      </c>
      <c r="K128" s="9" t="s">
        <v>85</v>
      </c>
    </row>
    <row r="129" customFormat="false" ht="15" hidden="false" customHeight="false" outlineLevel="0" collapsed="false">
      <c r="A129" s="9" t="s">
        <v>42</v>
      </c>
      <c r="B129" s="9" t="s">
        <v>100</v>
      </c>
      <c r="C129" s="9" t="s">
        <v>99</v>
      </c>
      <c r="D129" s="9" t="s">
        <v>60</v>
      </c>
      <c r="E129" s="9" t="n">
        <v>1164</v>
      </c>
      <c r="F129" s="9" t="n">
        <v>1153</v>
      </c>
      <c r="G129" s="9" t="n">
        <v>11</v>
      </c>
      <c r="H129" s="9" t="n">
        <v>0</v>
      </c>
      <c r="I129" s="18" t="n">
        <v>0.9905</v>
      </c>
      <c r="J129" s="18" t="n">
        <v>0.98</v>
      </c>
      <c r="K129" s="9" t="s">
        <v>85</v>
      </c>
    </row>
    <row r="130" customFormat="false" ht="15" hidden="false" customHeight="false" outlineLevel="0" collapsed="false">
      <c r="A130" s="9" t="s">
        <v>42</v>
      </c>
      <c r="B130" s="9" t="s">
        <v>100</v>
      </c>
      <c r="C130" s="9" t="s">
        <v>99</v>
      </c>
      <c r="D130" s="9" t="s">
        <v>61</v>
      </c>
      <c r="E130" s="9" t="n">
        <v>1094</v>
      </c>
      <c r="F130" s="9" t="n">
        <v>1084</v>
      </c>
      <c r="G130" s="9" t="n">
        <v>10</v>
      </c>
      <c r="H130" s="9" t="n">
        <v>0</v>
      </c>
      <c r="I130" s="18" t="n">
        <v>0.9909</v>
      </c>
      <c r="J130" s="18" t="n">
        <v>0.98</v>
      </c>
      <c r="K130" s="9" t="s">
        <v>85</v>
      </c>
    </row>
    <row r="131" customFormat="false" ht="15" hidden="false" customHeight="false" outlineLevel="0" collapsed="false">
      <c r="A131" s="9" t="s">
        <v>42</v>
      </c>
      <c r="B131" s="9" t="s">
        <v>100</v>
      </c>
      <c r="C131" s="9" t="s">
        <v>99</v>
      </c>
      <c r="D131" s="9" t="s">
        <v>62</v>
      </c>
      <c r="E131" s="9" t="n">
        <v>1154</v>
      </c>
      <c r="F131" s="9" t="n">
        <v>1139</v>
      </c>
      <c r="G131" s="9" t="n">
        <v>15</v>
      </c>
      <c r="H131" s="9" t="n">
        <v>0</v>
      </c>
      <c r="I131" s="18" t="n">
        <v>0.987</v>
      </c>
      <c r="J131" s="18" t="n">
        <v>0.98</v>
      </c>
      <c r="K131" s="9" t="s">
        <v>85</v>
      </c>
    </row>
    <row r="132" customFormat="false" ht="15" hidden="false" customHeight="false" outlineLevel="0" collapsed="false">
      <c r="A132" s="9" t="s">
        <v>42</v>
      </c>
      <c r="B132" s="9" t="s">
        <v>100</v>
      </c>
      <c r="C132" s="9" t="s">
        <v>99</v>
      </c>
      <c r="D132" s="9" t="s">
        <v>63</v>
      </c>
      <c r="E132" s="9" t="n">
        <v>1150</v>
      </c>
      <c r="F132" s="9" t="n">
        <v>1133</v>
      </c>
      <c r="G132" s="9" t="n">
        <v>17</v>
      </c>
      <c r="H132" s="9" t="n">
        <v>0</v>
      </c>
      <c r="I132" s="18" t="n">
        <v>0.9852</v>
      </c>
      <c r="J132" s="18" t="n">
        <v>0.98</v>
      </c>
      <c r="K132" s="9" t="s">
        <v>85</v>
      </c>
    </row>
    <row r="133" customFormat="false" ht="15" hidden="false" customHeight="false" outlineLevel="0" collapsed="false">
      <c r="A133" s="9" t="s">
        <v>42</v>
      </c>
      <c r="B133" s="9" t="s">
        <v>100</v>
      </c>
      <c r="C133" s="9" t="s">
        <v>99</v>
      </c>
      <c r="D133" s="9" t="s">
        <v>64</v>
      </c>
      <c r="E133" s="9" t="n">
        <v>1093</v>
      </c>
      <c r="F133" s="9" t="n">
        <v>1075</v>
      </c>
      <c r="G133" s="9" t="n">
        <v>18</v>
      </c>
      <c r="H133" s="9" t="n">
        <v>0</v>
      </c>
      <c r="I133" s="18" t="n">
        <v>0.9835</v>
      </c>
      <c r="J133" s="18" t="n">
        <v>0.98</v>
      </c>
      <c r="K133" s="9" t="s">
        <v>85</v>
      </c>
    </row>
    <row r="134" customFormat="false" ht="15" hidden="false" customHeight="false" outlineLevel="0" collapsed="false">
      <c r="A134" s="9" t="s">
        <v>42</v>
      </c>
      <c r="B134" s="9" t="s">
        <v>100</v>
      </c>
      <c r="C134" s="9" t="s">
        <v>99</v>
      </c>
      <c r="D134" s="9" t="s">
        <v>65</v>
      </c>
      <c r="E134" s="9" t="n">
        <v>1173</v>
      </c>
      <c r="F134" s="9" t="n">
        <v>1153</v>
      </c>
      <c r="G134" s="9" t="n">
        <v>20</v>
      </c>
      <c r="H134" s="9" t="n">
        <v>0</v>
      </c>
      <c r="I134" s="18" t="n">
        <v>0.9829</v>
      </c>
      <c r="J134" s="18" t="n">
        <v>0.98</v>
      </c>
      <c r="K134" s="9" t="s">
        <v>85</v>
      </c>
    </row>
    <row r="135" customFormat="false" ht="15" hidden="false" customHeight="false" outlineLevel="0" collapsed="false">
      <c r="A135" s="9" t="s">
        <v>42</v>
      </c>
      <c r="B135" s="9" t="s">
        <v>100</v>
      </c>
      <c r="C135" s="9" t="s">
        <v>99</v>
      </c>
      <c r="D135" s="9" t="s">
        <v>66</v>
      </c>
      <c r="E135" s="9" t="n">
        <v>1168</v>
      </c>
      <c r="F135" s="9" t="n">
        <v>1153</v>
      </c>
      <c r="G135" s="9" t="n">
        <v>15</v>
      </c>
      <c r="H135" s="9" t="n">
        <v>0</v>
      </c>
      <c r="I135" s="18" t="n">
        <v>0.9872</v>
      </c>
      <c r="J135" s="18" t="n">
        <v>0.98</v>
      </c>
      <c r="K135" s="9" t="s">
        <v>85</v>
      </c>
    </row>
    <row r="136" customFormat="false" ht="15" hidden="false" customHeight="false" outlineLevel="0" collapsed="false">
      <c r="A136" s="9" t="s">
        <v>42</v>
      </c>
      <c r="B136" s="9" t="s">
        <v>100</v>
      </c>
      <c r="C136" s="9" t="s">
        <v>99</v>
      </c>
      <c r="D136" s="9" t="s">
        <v>67</v>
      </c>
      <c r="E136" s="9" t="n">
        <v>1117</v>
      </c>
      <c r="F136" s="9" t="n">
        <v>1096</v>
      </c>
      <c r="G136" s="9" t="n">
        <v>21</v>
      </c>
      <c r="H136" s="9" t="n">
        <v>0</v>
      </c>
      <c r="I136" s="18" t="n">
        <v>0.9812</v>
      </c>
      <c r="J136" s="18" t="n">
        <v>0.98</v>
      </c>
      <c r="K136" s="9" t="s">
        <v>85</v>
      </c>
    </row>
    <row r="137" customFormat="false" ht="15" hidden="false" customHeight="false" outlineLevel="0" collapsed="false">
      <c r="A137" s="9" t="s">
        <v>43</v>
      </c>
      <c r="B137" s="9" t="s">
        <v>101</v>
      </c>
      <c r="C137" s="9" t="s">
        <v>99</v>
      </c>
      <c r="D137" s="9" t="s">
        <v>56</v>
      </c>
      <c r="E137" s="9" t="n">
        <v>1189</v>
      </c>
      <c r="F137" s="9" t="n">
        <v>1116</v>
      </c>
      <c r="G137" s="9" t="n">
        <v>73</v>
      </c>
      <c r="H137" s="9" t="n">
        <v>0</v>
      </c>
      <c r="I137" s="18" t="n">
        <v>0.9386</v>
      </c>
      <c r="J137" s="18" t="n">
        <v>0.97</v>
      </c>
      <c r="K137" s="9" t="s">
        <v>82</v>
      </c>
    </row>
    <row r="138" customFormat="false" ht="15" hidden="false" customHeight="false" outlineLevel="0" collapsed="false">
      <c r="A138" s="9" t="s">
        <v>43</v>
      </c>
      <c r="B138" s="9" t="s">
        <v>101</v>
      </c>
      <c r="C138" s="9" t="s">
        <v>99</v>
      </c>
      <c r="D138" s="9" t="s">
        <v>57</v>
      </c>
      <c r="E138" s="9" t="n">
        <v>1288</v>
      </c>
      <c r="F138" s="9" t="n">
        <v>1217</v>
      </c>
      <c r="G138" s="9" t="n">
        <v>71</v>
      </c>
      <c r="H138" s="9" t="n">
        <v>0</v>
      </c>
      <c r="I138" s="18" t="n">
        <v>0.9449</v>
      </c>
      <c r="J138" s="18" t="n">
        <v>0.97</v>
      </c>
      <c r="K138" s="9" t="s">
        <v>83</v>
      </c>
    </row>
    <row r="139" customFormat="false" ht="15" hidden="false" customHeight="false" outlineLevel="0" collapsed="false">
      <c r="A139" s="9" t="s">
        <v>43</v>
      </c>
      <c r="B139" s="9" t="s">
        <v>101</v>
      </c>
      <c r="C139" s="9" t="s">
        <v>99</v>
      </c>
      <c r="D139" s="9" t="s">
        <v>58</v>
      </c>
      <c r="E139" s="9" t="n">
        <v>1058</v>
      </c>
      <c r="F139" s="9" t="n">
        <v>1002</v>
      </c>
      <c r="G139" s="9" t="n">
        <v>56</v>
      </c>
      <c r="H139" s="9" t="n">
        <v>0</v>
      </c>
      <c r="I139" s="18" t="n">
        <v>0.9471</v>
      </c>
      <c r="J139" s="18" t="n">
        <v>0.97</v>
      </c>
      <c r="K139" s="9" t="s">
        <v>83</v>
      </c>
    </row>
    <row r="140" customFormat="false" ht="15" hidden="false" customHeight="false" outlineLevel="0" collapsed="false">
      <c r="A140" s="9" t="s">
        <v>43</v>
      </c>
      <c r="B140" s="9" t="s">
        <v>101</v>
      </c>
      <c r="C140" s="9" t="s">
        <v>99</v>
      </c>
      <c r="D140" s="9" t="s">
        <v>59</v>
      </c>
      <c r="E140" s="9" t="n">
        <v>1261</v>
      </c>
      <c r="F140" s="9" t="n">
        <v>1196</v>
      </c>
      <c r="G140" s="9" t="n">
        <v>65</v>
      </c>
      <c r="H140" s="9" t="n">
        <v>0</v>
      </c>
      <c r="I140" s="18" t="n">
        <v>0.9485</v>
      </c>
      <c r="J140" s="18" t="n">
        <v>0.97</v>
      </c>
      <c r="K140" s="9" t="s">
        <v>83</v>
      </c>
    </row>
    <row r="141" customFormat="false" ht="15" hidden="false" customHeight="false" outlineLevel="0" collapsed="false">
      <c r="A141" s="9" t="s">
        <v>43</v>
      </c>
      <c r="B141" s="9" t="s">
        <v>101</v>
      </c>
      <c r="C141" s="9" t="s">
        <v>99</v>
      </c>
      <c r="D141" s="9" t="s">
        <v>60</v>
      </c>
      <c r="E141" s="9" t="n">
        <v>1169</v>
      </c>
      <c r="F141" s="9" t="n">
        <v>1091</v>
      </c>
      <c r="G141" s="9" t="n">
        <v>78</v>
      </c>
      <c r="H141" s="9" t="n">
        <v>0</v>
      </c>
      <c r="I141" s="18" t="n">
        <v>0.9333</v>
      </c>
      <c r="J141" s="18" t="n">
        <v>0.97</v>
      </c>
      <c r="K141" s="9" t="s">
        <v>82</v>
      </c>
    </row>
    <row r="142" customFormat="false" ht="15" hidden="false" customHeight="false" outlineLevel="0" collapsed="false">
      <c r="A142" s="9" t="s">
        <v>43</v>
      </c>
      <c r="B142" s="9" t="s">
        <v>101</v>
      </c>
      <c r="C142" s="9" t="s">
        <v>99</v>
      </c>
      <c r="D142" s="9" t="s">
        <v>61</v>
      </c>
      <c r="E142" s="9" t="n">
        <v>1095</v>
      </c>
      <c r="F142" s="9" t="n">
        <v>1044</v>
      </c>
      <c r="G142" s="9" t="n">
        <v>51</v>
      </c>
      <c r="H142" s="9" t="n">
        <v>0</v>
      </c>
      <c r="I142" s="18" t="n">
        <v>0.9534</v>
      </c>
      <c r="J142" s="18" t="n">
        <v>0.97</v>
      </c>
      <c r="K142" s="9" t="s">
        <v>83</v>
      </c>
    </row>
    <row r="143" customFormat="false" ht="15" hidden="false" customHeight="false" outlineLevel="0" collapsed="false">
      <c r="A143" s="9" t="s">
        <v>43</v>
      </c>
      <c r="B143" s="9" t="s">
        <v>101</v>
      </c>
      <c r="C143" s="9" t="s">
        <v>99</v>
      </c>
      <c r="D143" s="9" t="s">
        <v>62</v>
      </c>
      <c r="E143" s="9" t="n">
        <v>1156</v>
      </c>
      <c r="F143" s="9" t="n">
        <v>1090</v>
      </c>
      <c r="G143" s="9" t="n">
        <v>66</v>
      </c>
      <c r="H143" s="9" t="n">
        <v>0</v>
      </c>
      <c r="I143" s="18" t="n">
        <v>0.9429</v>
      </c>
      <c r="J143" s="18" t="n">
        <v>0.97</v>
      </c>
      <c r="K143" s="9" t="s">
        <v>83</v>
      </c>
    </row>
    <row r="144" customFormat="false" ht="15" hidden="false" customHeight="false" outlineLevel="0" collapsed="false">
      <c r="A144" s="9" t="s">
        <v>43</v>
      </c>
      <c r="B144" s="9" t="s">
        <v>101</v>
      </c>
      <c r="C144" s="9" t="s">
        <v>99</v>
      </c>
      <c r="D144" s="9" t="s">
        <v>63</v>
      </c>
      <c r="E144" s="9" t="n">
        <v>1156</v>
      </c>
      <c r="F144" s="9" t="n">
        <v>1097</v>
      </c>
      <c r="G144" s="9" t="n">
        <v>59</v>
      </c>
      <c r="H144" s="9" t="n">
        <v>0</v>
      </c>
      <c r="I144" s="18" t="n">
        <v>0.949</v>
      </c>
      <c r="J144" s="18" t="n">
        <v>0.97</v>
      </c>
      <c r="K144" s="9" t="s">
        <v>83</v>
      </c>
    </row>
    <row r="145" customFormat="false" ht="15" hidden="false" customHeight="false" outlineLevel="0" collapsed="false">
      <c r="A145" s="9" t="s">
        <v>43</v>
      </c>
      <c r="B145" s="9" t="s">
        <v>101</v>
      </c>
      <c r="C145" s="9" t="s">
        <v>99</v>
      </c>
      <c r="D145" s="9" t="s">
        <v>64</v>
      </c>
      <c r="E145" s="9" t="n">
        <v>1095</v>
      </c>
      <c r="F145" s="9" t="n">
        <v>1032</v>
      </c>
      <c r="G145" s="9" t="n">
        <v>63</v>
      </c>
      <c r="H145" s="9" t="n">
        <v>0</v>
      </c>
      <c r="I145" s="18" t="n">
        <v>0.9425</v>
      </c>
      <c r="J145" s="18" t="n">
        <v>0.97</v>
      </c>
      <c r="K145" s="9" t="s">
        <v>83</v>
      </c>
    </row>
    <row r="146" customFormat="false" ht="15" hidden="false" customHeight="false" outlineLevel="0" collapsed="false">
      <c r="A146" s="9" t="s">
        <v>43</v>
      </c>
      <c r="B146" s="9" t="s">
        <v>101</v>
      </c>
      <c r="C146" s="9" t="s">
        <v>99</v>
      </c>
      <c r="D146" s="9" t="s">
        <v>65</v>
      </c>
      <c r="E146" s="9" t="n">
        <v>1177</v>
      </c>
      <c r="F146" s="9" t="n">
        <v>1111</v>
      </c>
      <c r="G146" s="9" t="n">
        <v>66</v>
      </c>
      <c r="H146" s="9" t="n">
        <v>0</v>
      </c>
      <c r="I146" s="18" t="n">
        <v>0.9439</v>
      </c>
      <c r="J146" s="18" t="n">
        <v>0.97</v>
      </c>
      <c r="K146" s="9" t="s">
        <v>83</v>
      </c>
    </row>
    <row r="147" customFormat="false" ht="15" hidden="false" customHeight="false" outlineLevel="0" collapsed="false">
      <c r="A147" s="9" t="s">
        <v>43</v>
      </c>
      <c r="B147" s="9" t="s">
        <v>101</v>
      </c>
      <c r="C147" s="9" t="s">
        <v>99</v>
      </c>
      <c r="D147" s="9" t="s">
        <v>66</v>
      </c>
      <c r="E147" s="9" t="n">
        <v>1174</v>
      </c>
      <c r="F147" s="9" t="n">
        <v>1101</v>
      </c>
      <c r="G147" s="9" t="n">
        <v>73</v>
      </c>
      <c r="H147" s="9" t="n">
        <v>0</v>
      </c>
      <c r="I147" s="18" t="n">
        <v>0.9378</v>
      </c>
      <c r="J147" s="18" t="n">
        <v>0.97</v>
      </c>
      <c r="K147" s="9" t="s">
        <v>82</v>
      </c>
    </row>
    <row r="148" customFormat="false" ht="15" hidden="false" customHeight="false" outlineLevel="0" collapsed="false">
      <c r="A148" s="9" t="s">
        <v>43</v>
      </c>
      <c r="B148" s="9" t="s">
        <v>101</v>
      </c>
      <c r="C148" s="9" t="s">
        <v>99</v>
      </c>
      <c r="D148" s="9" t="s">
        <v>67</v>
      </c>
      <c r="E148" s="9" t="n">
        <v>1120</v>
      </c>
      <c r="F148" s="9" t="n">
        <v>1069</v>
      </c>
      <c r="G148" s="9" t="n">
        <v>51</v>
      </c>
      <c r="H148" s="9" t="n">
        <v>0</v>
      </c>
      <c r="I148" s="18" t="n">
        <v>0.9545</v>
      </c>
      <c r="J148" s="18" t="n">
        <v>0.97</v>
      </c>
      <c r="K148" s="9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4" min="13" style="0" width="10"/>
  </cols>
  <sheetData>
    <row r="1" customFormat="false" ht="27.75" hidden="false" customHeight="true" outlineLevel="0" collapsed="false">
      <c r="A1" s="8" t="s">
        <v>69</v>
      </c>
      <c r="B1" s="8" t="s">
        <v>70</v>
      </c>
      <c r="C1" s="8" t="s">
        <v>71</v>
      </c>
      <c r="D1" s="8" t="s">
        <v>102</v>
      </c>
      <c r="E1" s="8" t="s">
        <v>72</v>
      </c>
      <c r="F1" s="8" t="s">
        <v>103</v>
      </c>
      <c r="G1" s="8" t="s">
        <v>78</v>
      </c>
      <c r="H1" s="8" t="s">
        <v>104</v>
      </c>
      <c r="I1" s="8" t="s">
        <v>105</v>
      </c>
      <c r="J1" s="8" t="s">
        <v>106</v>
      </c>
      <c r="K1" s="8" t="s">
        <v>107</v>
      </c>
      <c r="L1" s="8" t="s">
        <v>108</v>
      </c>
      <c r="M1" s="8" t="s">
        <v>109</v>
      </c>
      <c r="N1" s="8" t="s">
        <v>110</v>
      </c>
    </row>
    <row r="2" customFormat="false" ht="15" hidden="false" customHeight="false" outlineLevel="0" collapsed="false">
      <c r="A2" s="9" t="s">
        <v>46</v>
      </c>
      <c r="B2" s="9" t="s">
        <v>89</v>
      </c>
      <c r="C2" s="9" t="s">
        <v>90</v>
      </c>
      <c r="D2" s="9" t="s">
        <v>111</v>
      </c>
      <c r="E2" s="9" t="s">
        <v>68</v>
      </c>
      <c r="F2" s="18" t="n">
        <v>0.661</v>
      </c>
      <c r="G2" s="18" t="n">
        <v>0.96</v>
      </c>
      <c r="H2" s="9" t="n">
        <v>4</v>
      </c>
      <c r="I2" s="9" t="n">
        <v>42.4</v>
      </c>
      <c r="J2" s="9" t="s">
        <v>112</v>
      </c>
      <c r="K2" s="9" t="n">
        <v>11.52</v>
      </c>
      <c r="L2" s="9" t="s">
        <v>113</v>
      </c>
      <c r="M2" s="9" t="n">
        <v>61</v>
      </c>
      <c r="N2" s="9" t="s">
        <v>82</v>
      </c>
    </row>
    <row r="3" customFormat="false" ht="15" hidden="false" customHeight="false" outlineLevel="0" collapsed="false">
      <c r="A3" s="9" t="s">
        <v>49</v>
      </c>
      <c r="B3" s="9" t="s">
        <v>94</v>
      </c>
      <c r="C3" s="9" t="s">
        <v>93</v>
      </c>
      <c r="D3" s="9" t="s">
        <v>114</v>
      </c>
      <c r="E3" s="9" t="s">
        <v>67</v>
      </c>
      <c r="F3" s="18" t="n">
        <v>0.6</v>
      </c>
      <c r="G3" s="18" t="n">
        <v>0.9</v>
      </c>
      <c r="H3" s="9" t="n">
        <v>4</v>
      </c>
      <c r="I3" s="9" t="n">
        <v>48</v>
      </c>
      <c r="J3" s="9" t="s">
        <v>112</v>
      </c>
      <c r="K3" s="9" t="n">
        <v>10.4</v>
      </c>
      <c r="L3" s="9" t="s">
        <v>113</v>
      </c>
      <c r="M3" s="9" t="n">
        <v>2</v>
      </c>
      <c r="N3" s="9" t="s">
        <v>82</v>
      </c>
    </row>
    <row r="4" customFormat="false" ht="15" hidden="false" customHeight="false" outlineLevel="0" collapsed="false">
      <c r="A4" s="9" t="s">
        <v>41</v>
      </c>
      <c r="B4" s="9" t="s">
        <v>98</v>
      </c>
      <c r="C4" s="9" t="s">
        <v>99</v>
      </c>
      <c r="D4" s="9" t="s">
        <v>115</v>
      </c>
      <c r="E4" s="9" t="s">
        <v>67</v>
      </c>
      <c r="F4" s="18" t="n">
        <v>0.8545</v>
      </c>
      <c r="G4" s="18" t="n">
        <v>0.97</v>
      </c>
      <c r="H4" s="9" t="n">
        <v>3</v>
      </c>
      <c r="I4" s="9" t="n">
        <v>55.3</v>
      </c>
      <c r="J4" s="9" t="s">
        <v>112</v>
      </c>
      <c r="K4" s="9" t="n">
        <v>6.71</v>
      </c>
      <c r="L4" s="9" t="s">
        <v>116</v>
      </c>
      <c r="M4" s="9" t="n">
        <v>111</v>
      </c>
      <c r="N4" s="9" t="s">
        <v>82</v>
      </c>
    </row>
    <row r="5" customFormat="false" ht="15" hidden="false" customHeight="false" outlineLevel="0" collapsed="false">
      <c r="A5" s="9" t="s">
        <v>47</v>
      </c>
      <c r="B5" s="9" t="s">
        <v>91</v>
      </c>
      <c r="C5" s="9" t="s">
        <v>90</v>
      </c>
      <c r="D5" s="9" t="s">
        <v>111</v>
      </c>
      <c r="E5" s="9" t="s">
        <v>68</v>
      </c>
      <c r="F5" s="18" t="n">
        <v>0.9576</v>
      </c>
      <c r="G5" s="18" t="n">
        <v>0.98</v>
      </c>
      <c r="H5" s="9" t="n">
        <v>4</v>
      </c>
      <c r="I5" s="9" t="n">
        <v>68.6</v>
      </c>
      <c r="J5" s="9" t="s">
        <v>117</v>
      </c>
      <c r="K5" s="9" t="n">
        <v>6.28</v>
      </c>
      <c r="L5" s="9" t="s">
        <v>116</v>
      </c>
      <c r="M5" s="9" t="n">
        <v>9</v>
      </c>
      <c r="N5" s="9" t="s">
        <v>83</v>
      </c>
    </row>
    <row r="6" customFormat="false" ht="15" hidden="false" customHeight="false" outlineLevel="0" collapsed="false">
      <c r="A6" s="9" t="s">
        <v>50</v>
      </c>
      <c r="B6" s="9" t="s">
        <v>80</v>
      </c>
      <c r="C6" s="9" t="s">
        <v>81</v>
      </c>
      <c r="D6" s="9" t="s">
        <v>115</v>
      </c>
      <c r="E6" s="9" t="s">
        <v>67</v>
      </c>
      <c r="F6" s="18" t="n">
        <v>0.8889</v>
      </c>
      <c r="G6" s="18" t="n">
        <v>0.99</v>
      </c>
      <c r="H6" s="9" t="n">
        <v>3</v>
      </c>
      <c r="I6" s="9" t="n">
        <v>63.9</v>
      </c>
      <c r="J6" s="9" t="s">
        <v>112</v>
      </c>
      <c r="K6" s="9" t="n">
        <v>5.42</v>
      </c>
      <c r="L6" s="9" t="s">
        <v>116</v>
      </c>
      <c r="M6" s="9" t="n">
        <v>1</v>
      </c>
      <c r="N6" s="9" t="s">
        <v>82</v>
      </c>
    </row>
    <row r="7" customFormat="false" ht="15" hidden="false" customHeight="false" outlineLevel="0" collapsed="false">
      <c r="A7" s="9" t="s">
        <v>43</v>
      </c>
      <c r="B7" s="9" t="s">
        <v>101</v>
      </c>
      <c r="C7" s="9" t="s">
        <v>99</v>
      </c>
      <c r="D7" s="9" t="s">
        <v>115</v>
      </c>
      <c r="E7" s="9" t="s">
        <v>67</v>
      </c>
      <c r="F7" s="18" t="n">
        <v>0.9545</v>
      </c>
      <c r="G7" s="18" t="n">
        <v>0.97</v>
      </c>
      <c r="H7" s="9" t="n">
        <v>3</v>
      </c>
      <c r="I7" s="9" t="n">
        <v>71.2</v>
      </c>
      <c r="J7" s="9" t="s">
        <v>117</v>
      </c>
      <c r="K7" s="9" t="n">
        <v>4.32</v>
      </c>
      <c r="L7" s="9" t="s">
        <v>118</v>
      </c>
      <c r="M7" s="9" t="n">
        <v>92</v>
      </c>
      <c r="N7" s="9" t="s">
        <v>83</v>
      </c>
    </row>
    <row r="8" customFormat="false" ht="15" hidden="false" customHeight="false" outlineLevel="0" collapsed="false">
      <c r="A8" s="9" t="s">
        <v>45</v>
      </c>
      <c r="B8" s="9" t="s">
        <v>88</v>
      </c>
      <c r="C8" s="9" t="s">
        <v>87</v>
      </c>
      <c r="D8" s="9" t="s">
        <v>115</v>
      </c>
      <c r="E8" s="9" t="s">
        <v>67</v>
      </c>
      <c r="F8" s="18" t="n">
        <v>0.96</v>
      </c>
      <c r="G8" s="18" t="n">
        <v>0.95</v>
      </c>
      <c r="H8" s="9" t="n">
        <v>3</v>
      </c>
      <c r="I8" s="9" t="n">
        <v>76.3</v>
      </c>
      <c r="J8" s="9" t="s">
        <v>117</v>
      </c>
      <c r="K8" s="9" t="n">
        <v>3.55</v>
      </c>
      <c r="L8" s="9" t="s">
        <v>118</v>
      </c>
      <c r="M8" s="9" t="n">
        <v>28</v>
      </c>
      <c r="N8" s="9" t="s">
        <v>85</v>
      </c>
    </row>
    <row r="9" customFormat="false" ht="15" hidden="false" customHeight="false" outlineLevel="0" collapsed="false">
      <c r="A9" s="9" t="s">
        <v>52</v>
      </c>
      <c r="B9" s="9" t="s">
        <v>95</v>
      </c>
      <c r="C9" s="9" t="s">
        <v>96</v>
      </c>
      <c r="D9" s="9" t="s">
        <v>119</v>
      </c>
      <c r="E9" s="9" t="s">
        <v>67</v>
      </c>
      <c r="F9" s="18" t="n">
        <v>0.9422</v>
      </c>
      <c r="G9" s="18" t="n">
        <v>0.93</v>
      </c>
      <c r="H9" s="9" t="n">
        <v>4</v>
      </c>
      <c r="I9" s="9" t="n">
        <v>84</v>
      </c>
      <c r="J9" s="9" t="s">
        <v>117</v>
      </c>
      <c r="K9" s="9" t="n">
        <v>3.2</v>
      </c>
      <c r="L9" s="9" t="s">
        <v>118</v>
      </c>
      <c r="M9" s="9" t="n">
        <v>23</v>
      </c>
      <c r="N9" s="9" t="s">
        <v>85</v>
      </c>
    </row>
    <row r="10" customFormat="false" ht="15" hidden="false" customHeight="false" outlineLevel="0" collapsed="false">
      <c r="A10" s="9" t="s">
        <v>48</v>
      </c>
      <c r="B10" s="9" t="s">
        <v>92</v>
      </c>
      <c r="C10" s="9" t="s">
        <v>93</v>
      </c>
      <c r="D10" s="9" t="s">
        <v>114</v>
      </c>
      <c r="E10" s="9" t="s">
        <v>67</v>
      </c>
      <c r="F10" s="18" t="n">
        <v>0.9762</v>
      </c>
      <c r="G10" s="18" t="n">
        <v>0.97</v>
      </c>
      <c r="H10" s="9" t="n">
        <v>4</v>
      </c>
      <c r="I10" s="9" t="n">
        <v>89</v>
      </c>
      <c r="J10" s="9" t="s">
        <v>120</v>
      </c>
      <c r="K10" s="9" t="n">
        <v>2.2</v>
      </c>
      <c r="L10" s="9" t="s">
        <v>118</v>
      </c>
      <c r="M10" s="9" t="n">
        <v>12</v>
      </c>
      <c r="N10" s="9" t="s">
        <v>85</v>
      </c>
    </row>
    <row r="11" customFormat="false" ht="15" hidden="false" customHeight="false" outlineLevel="0" collapsed="false">
      <c r="A11" s="9" t="s">
        <v>44</v>
      </c>
      <c r="B11" s="9" t="s">
        <v>86</v>
      </c>
      <c r="C11" s="9" t="s">
        <v>87</v>
      </c>
      <c r="D11" s="9" t="s">
        <v>115</v>
      </c>
      <c r="E11" s="9" t="s">
        <v>67</v>
      </c>
      <c r="F11" s="18" t="n">
        <v>0.9833</v>
      </c>
      <c r="G11" s="18" t="n">
        <v>0.97</v>
      </c>
      <c r="H11" s="9" t="n">
        <v>3</v>
      </c>
      <c r="I11" s="9" t="n">
        <v>86.3</v>
      </c>
      <c r="J11" s="9" t="s">
        <v>120</v>
      </c>
      <c r="K11" s="9" t="n">
        <v>2.06</v>
      </c>
      <c r="L11" s="9" t="s">
        <v>118</v>
      </c>
      <c r="M11" s="9" t="n">
        <v>12</v>
      </c>
      <c r="N11" s="9" t="s">
        <v>85</v>
      </c>
    </row>
    <row r="12" customFormat="false" ht="15" hidden="false" customHeight="false" outlineLevel="0" collapsed="false">
      <c r="A12" s="9" t="s">
        <v>51</v>
      </c>
      <c r="B12" s="9" t="s">
        <v>84</v>
      </c>
      <c r="C12" s="9" t="s">
        <v>81</v>
      </c>
      <c r="D12" s="9" t="s">
        <v>115</v>
      </c>
      <c r="E12" s="9" t="s">
        <v>67</v>
      </c>
      <c r="F12" s="18" t="n">
        <v>0.9829</v>
      </c>
      <c r="G12" s="18" t="n">
        <v>0.98</v>
      </c>
      <c r="H12" s="9" t="n">
        <v>3</v>
      </c>
      <c r="I12" s="9" t="n">
        <v>87.3</v>
      </c>
      <c r="J12" s="9" t="s">
        <v>120</v>
      </c>
      <c r="K12" s="9" t="n">
        <v>1.91</v>
      </c>
      <c r="L12" s="9" t="s">
        <v>118</v>
      </c>
      <c r="M12" s="9" t="n">
        <v>6</v>
      </c>
      <c r="N12" s="9" t="s">
        <v>85</v>
      </c>
    </row>
    <row r="13" customFormat="false" ht="15" hidden="false" customHeight="false" outlineLevel="0" collapsed="false">
      <c r="A13" s="9" t="s">
        <v>42</v>
      </c>
      <c r="B13" s="9" t="s">
        <v>100</v>
      </c>
      <c r="C13" s="9" t="s">
        <v>99</v>
      </c>
      <c r="D13" s="9" t="s">
        <v>115</v>
      </c>
      <c r="E13" s="9" t="s">
        <v>67</v>
      </c>
      <c r="F13" s="18" t="n">
        <v>0.9812</v>
      </c>
      <c r="G13" s="18" t="n">
        <v>0.98</v>
      </c>
      <c r="H13" s="9" t="n">
        <v>3</v>
      </c>
      <c r="I13" s="9" t="n">
        <v>89</v>
      </c>
      <c r="J13" s="9" t="s">
        <v>120</v>
      </c>
      <c r="K13" s="9" t="n">
        <v>1.65</v>
      </c>
      <c r="L13" s="9" t="s">
        <v>118</v>
      </c>
      <c r="M13" s="9" t="n">
        <v>25</v>
      </c>
      <c r="N13" s="9" t="s">
        <v>85</v>
      </c>
    </row>
    <row r="14" customFormat="false" ht="15" hidden="false" customHeight="false" outlineLevel="0" collapsed="false">
      <c r="A14" s="9" t="s">
        <v>53</v>
      </c>
      <c r="B14" s="9" t="s">
        <v>97</v>
      </c>
      <c r="C14" s="9" t="s">
        <v>96</v>
      </c>
      <c r="D14" s="9" t="s">
        <v>119</v>
      </c>
      <c r="E14" s="9" t="s">
        <v>67</v>
      </c>
      <c r="F14" s="18" t="n">
        <v>1</v>
      </c>
      <c r="G14" s="18" t="n">
        <v>0.95</v>
      </c>
      <c r="H14" s="9" t="n">
        <v>3</v>
      </c>
      <c r="I14" s="9" t="n">
        <v>92</v>
      </c>
      <c r="J14" s="9" t="s">
        <v>120</v>
      </c>
      <c r="K14" s="9" t="n">
        <v>1.2</v>
      </c>
      <c r="L14" s="9" t="s">
        <v>118</v>
      </c>
      <c r="M14" s="9" t="n">
        <v>0</v>
      </c>
      <c r="N14" s="9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A1:K3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45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2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8" t="s">
        <v>121</v>
      </c>
      <c r="B1" s="8" t="s">
        <v>122</v>
      </c>
      <c r="C1" s="8" t="s">
        <v>69</v>
      </c>
      <c r="D1" s="8" t="s">
        <v>123</v>
      </c>
      <c r="E1" s="8" t="s">
        <v>124</v>
      </c>
      <c r="F1" s="8" t="s">
        <v>125</v>
      </c>
      <c r="G1" s="8" t="s">
        <v>126</v>
      </c>
      <c r="H1" s="8" t="s">
        <v>127</v>
      </c>
      <c r="I1" s="8" t="s">
        <v>128</v>
      </c>
      <c r="J1" s="8" t="s">
        <v>129</v>
      </c>
      <c r="K1" s="8" t="s">
        <v>130</v>
      </c>
    </row>
    <row r="2" customFormat="false" ht="15" hidden="false" customHeight="false" outlineLevel="0" collapsed="false">
      <c r="A2" s="9" t="s">
        <v>131</v>
      </c>
      <c r="B2" s="9" t="n">
        <v>9000007</v>
      </c>
      <c r="C2" s="9" t="s">
        <v>41</v>
      </c>
      <c r="D2" s="9" t="s">
        <v>132</v>
      </c>
      <c r="E2" s="9" t="s">
        <v>133</v>
      </c>
      <c r="F2" s="9" t="s">
        <v>134</v>
      </c>
      <c r="G2" s="9" t="s">
        <v>135</v>
      </c>
      <c r="H2" s="9" t="s">
        <v>136</v>
      </c>
      <c r="I2" s="9" t="n">
        <v>-339</v>
      </c>
      <c r="J2" s="9" t="s">
        <v>137</v>
      </c>
      <c r="K2" s="9" t="s">
        <v>116</v>
      </c>
    </row>
    <row r="3" customFormat="false" ht="15" hidden="false" customHeight="false" outlineLevel="0" collapsed="false">
      <c r="A3" s="9" t="s">
        <v>138</v>
      </c>
      <c r="B3" s="9" t="n">
        <v>9000024</v>
      </c>
      <c r="C3" s="9" t="s">
        <v>41</v>
      </c>
      <c r="D3" s="9" t="s">
        <v>132</v>
      </c>
      <c r="E3" s="9" t="s">
        <v>133</v>
      </c>
      <c r="F3" s="9" t="s">
        <v>139</v>
      </c>
      <c r="G3" s="9" t="s">
        <v>140</v>
      </c>
      <c r="H3" s="9" t="s">
        <v>141</v>
      </c>
      <c r="I3" s="9" t="n">
        <v>-305</v>
      </c>
      <c r="J3" s="9" t="s">
        <v>137</v>
      </c>
      <c r="K3" s="9" t="s">
        <v>116</v>
      </c>
    </row>
    <row r="4" customFormat="false" ht="15" hidden="false" customHeight="false" outlineLevel="0" collapsed="false">
      <c r="A4" s="9" t="s">
        <v>142</v>
      </c>
      <c r="B4" s="9" t="n">
        <v>9000025</v>
      </c>
      <c r="C4" s="9" t="s">
        <v>41</v>
      </c>
      <c r="D4" s="9" t="s">
        <v>132</v>
      </c>
      <c r="E4" s="9" t="s">
        <v>133</v>
      </c>
      <c r="F4" s="9" t="s">
        <v>143</v>
      </c>
      <c r="G4" s="9" t="s">
        <v>144</v>
      </c>
      <c r="H4" s="9" t="s">
        <v>145</v>
      </c>
      <c r="I4" s="9" t="n">
        <v>-303</v>
      </c>
      <c r="J4" s="9" t="s">
        <v>137</v>
      </c>
      <c r="K4" s="9" t="s">
        <v>116</v>
      </c>
    </row>
    <row r="5" customFormat="false" ht="15" hidden="false" customHeight="false" outlineLevel="0" collapsed="false">
      <c r="A5" s="9" t="s">
        <v>146</v>
      </c>
      <c r="B5" s="9" t="n">
        <v>9000030</v>
      </c>
      <c r="C5" s="9" t="s">
        <v>41</v>
      </c>
      <c r="D5" s="9" t="s">
        <v>132</v>
      </c>
      <c r="E5" s="9" t="s">
        <v>133</v>
      </c>
      <c r="F5" s="9" t="s">
        <v>147</v>
      </c>
      <c r="G5" s="9" t="s">
        <v>148</v>
      </c>
      <c r="H5" s="9" t="s">
        <v>149</v>
      </c>
      <c r="I5" s="9" t="n">
        <v>-289</v>
      </c>
      <c r="J5" s="9" t="s">
        <v>137</v>
      </c>
      <c r="K5" s="9" t="s">
        <v>116</v>
      </c>
    </row>
    <row r="6" customFormat="false" ht="15" hidden="false" customHeight="false" outlineLevel="0" collapsed="false">
      <c r="A6" s="9" t="s">
        <v>150</v>
      </c>
      <c r="B6" s="9" t="n">
        <v>9000033</v>
      </c>
      <c r="C6" s="9" t="s">
        <v>41</v>
      </c>
      <c r="D6" s="9" t="s">
        <v>132</v>
      </c>
      <c r="E6" s="9" t="s">
        <v>133</v>
      </c>
      <c r="F6" s="9" t="s">
        <v>151</v>
      </c>
      <c r="G6" s="9" t="s">
        <v>152</v>
      </c>
      <c r="H6" s="9" t="s">
        <v>153</v>
      </c>
      <c r="I6" s="9" t="n">
        <v>-276</v>
      </c>
      <c r="J6" s="9" t="s">
        <v>137</v>
      </c>
      <c r="K6" s="9" t="s">
        <v>116</v>
      </c>
    </row>
    <row r="7" customFormat="false" ht="15" hidden="false" customHeight="false" outlineLevel="0" collapsed="false">
      <c r="A7" s="9" t="s">
        <v>154</v>
      </c>
      <c r="B7" s="9" t="n">
        <v>9000038</v>
      </c>
      <c r="C7" s="9" t="s">
        <v>41</v>
      </c>
      <c r="D7" s="9" t="s">
        <v>132</v>
      </c>
      <c r="E7" s="9" t="s">
        <v>133</v>
      </c>
      <c r="F7" s="9" t="s">
        <v>155</v>
      </c>
      <c r="G7" s="9" t="s">
        <v>156</v>
      </c>
      <c r="H7" s="9" t="s">
        <v>157</v>
      </c>
      <c r="I7" s="9" t="n">
        <v>-265</v>
      </c>
      <c r="J7" s="9" t="s">
        <v>137</v>
      </c>
      <c r="K7" s="9" t="s">
        <v>116</v>
      </c>
    </row>
    <row r="8" customFormat="false" ht="15" hidden="false" customHeight="false" outlineLevel="0" collapsed="false">
      <c r="A8" s="9" t="s">
        <v>158</v>
      </c>
      <c r="B8" s="9" t="n">
        <v>9000053</v>
      </c>
      <c r="C8" s="9" t="s">
        <v>41</v>
      </c>
      <c r="D8" s="9" t="s">
        <v>132</v>
      </c>
      <c r="E8" s="9" t="s">
        <v>133</v>
      </c>
      <c r="F8" s="9" t="s">
        <v>159</v>
      </c>
      <c r="G8" s="9" t="s">
        <v>160</v>
      </c>
      <c r="H8" s="9" t="s">
        <v>161</v>
      </c>
      <c r="I8" s="9" t="n">
        <v>-230</v>
      </c>
      <c r="J8" s="9" t="s">
        <v>137</v>
      </c>
      <c r="K8" s="9" t="s">
        <v>116</v>
      </c>
    </row>
    <row r="9" customFormat="false" ht="15" hidden="false" customHeight="false" outlineLevel="0" collapsed="false">
      <c r="A9" s="9" t="s">
        <v>162</v>
      </c>
      <c r="B9" s="9" t="n">
        <v>9000061</v>
      </c>
      <c r="C9" s="9" t="s">
        <v>41</v>
      </c>
      <c r="D9" s="9" t="s">
        <v>132</v>
      </c>
      <c r="E9" s="9" t="s">
        <v>133</v>
      </c>
      <c r="F9" s="9" t="s">
        <v>163</v>
      </c>
      <c r="G9" s="9" t="s">
        <v>164</v>
      </c>
      <c r="H9" s="9" t="s">
        <v>165</v>
      </c>
      <c r="I9" s="9" t="n">
        <v>-206</v>
      </c>
      <c r="J9" s="9" t="s">
        <v>137</v>
      </c>
      <c r="K9" s="9" t="s">
        <v>116</v>
      </c>
    </row>
    <row r="10" customFormat="false" ht="15" hidden="false" customHeight="false" outlineLevel="0" collapsed="false">
      <c r="A10" s="9" t="s">
        <v>166</v>
      </c>
      <c r="B10" s="9" t="n">
        <v>9000091</v>
      </c>
      <c r="C10" s="9" t="s">
        <v>41</v>
      </c>
      <c r="D10" s="9" t="s">
        <v>132</v>
      </c>
      <c r="E10" s="9" t="s">
        <v>133</v>
      </c>
      <c r="F10" s="9" t="s">
        <v>167</v>
      </c>
      <c r="G10" s="9" t="s">
        <v>168</v>
      </c>
      <c r="H10" s="9" t="s">
        <v>169</v>
      </c>
      <c r="I10" s="9" t="n">
        <v>-123</v>
      </c>
      <c r="J10" s="9" t="s">
        <v>137</v>
      </c>
      <c r="K10" s="9" t="s">
        <v>116</v>
      </c>
    </row>
    <row r="11" customFormat="false" ht="15" hidden="false" customHeight="false" outlineLevel="0" collapsed="false">
      <c r="A11" s="9" t="s">
        <v>170</v>
      </c>
      <c r="B11" s="9" t="n">
        <v>9000097</v>
      </c>
      <c r="C11" s="9" t="s">
        <v>41</v>
      </c>
      <c r="D11" s="9" t="s">
        <v>132</v>
      </c>
      <c r="E11" s="9" t="s">
        <v>133</v>
      </c>
      <c r="F11" s="9" t="s">
        <v>171</v>
      </c>
      <c r="G11" s="9" t="s">
        <v>172</v>
      </c>
      <c r="H11" s="9" t="s">
        <v>173</v>
      </c>
      <c r="I11" s="9" t="n">
        <v>-109</v>
      </c>
      <c r="J11" s="9" t="s">
        <v>137</v>
      </c>
      <c r="K11" s="9" t="s">
        <v>116</v>
      </c>
    </row>
    <row r="12" customFormat="false" ht="15" hidden="false" customHeight="false" outlineLevel="0" collapsed="false">
      <c r="A12" s="9" t="s">
        <v>174</v>
      </c>
      <c r="B12" s="9" t="n">
        <v>9000098</v>
      </c>
      <c r="C12" s="9" t="s">
        <v>41</v>
      </c>
      <c r="D12" s="9" t="s">
        <v>132</v>
      </c>
      <c r="E12" s="9" t="s">
        <v>133</v>
      </c>
      <c r="F12" s="9" t="s">
        <v>175</v>
      </c>
      <c r="G12" s="9" t="s">
        <v>172</v>
      </c>
      <c r="H12" s="9" t="s">
        <v>173</v>
      </c>
      <c r="I12" s="9" t="n">
        <v>-109</v>
      </c>
      <c r="J12" s="9" t="s">
        <v>137</v>
      </c>
      <c r="K12" s="9" t="s">
        <v>116</v>
      </c>
    </row>
    <row r="13" customFormat="false" ht="15" hidden="false" customHeight="false" outlineLevel="0" collapsed="false">
      <c r="A13" s="9" t="s">
        <v>176</v>
      </c>
      <c r="B13" s="9" t="n">
        <v>9000099</v>
      </c>
      <c r="C13" s="9" t="s">
        <v>41</v>
      </c>
      <c r="D13" s="9" t="s">
        <v>132</v>
      </c>
      <c r="E13" s="9" t="s">
        <v>133</v>
      </c>
      <c r="F13" s="9" t="s">
        <v>177</v>
      </c>
      <c r="G13" s="9" t="s">
        <v>178</v>
      </c>
      <c r="H13" s="9" t="s">
        <v>179</v>
      </c>
      <c r="I13" s="9" t="n">
        <v>-107</v>
      </c>
      <c r="J13" s="9" t="s">
        <v>137</v>
      </c>
      <c r="K13" s="9" t="s">
        <v>116</v>
      </c>
    </row>
    <row r="14" customFormat="false" ht="15" hidden="false" customHeight="false" outlineLevel="0" collapsed="false">
      <c r="A14" s="9" t="s">
        <v>180</v>
      </c>
      <c r="B14" s="9" t="n">
        <v>9000115</v>
      </c>
      <c r="C14" s="9" t="s">
        <v>41</v>
      </c>
      <c r="D14" s="9" t="s">
        <v>132</v>
      </c>
      <c r="E14" s="9" t="s">
        <v>133</v>
      </c>
      <c r="F14" s="9" t="s">
        <v>181</v>
      </c>
      <c r="G14" s="9" t="s">
        <v>182</v>
      </c>
      <c r="H14" s="9" t="s">
        <v>183</v>
      </c>
      <c r="I14" s="9" t="n">
        <v>-100</v>
      </c>
      <c r="J14" s="9" t="s">
        <v>137</v>
      </c>
      <c r="K14" s="9" t="s">
        <v>116</v>
      </c>
    </row>
    <row r="15" customFormat="false" ht="15" hidden="false" customHeight="false" outlineLevel="0" collapsed="false">
      <c r="A15" s="9" t="s">
        <v>184</v>
      </c>
      <c r="B15" s="9" t="n">
        <v>9000119</v>
      </c>
      <c r="C15" s="9" t="s">
        <v>41</v>
      </c>
      <c r="D15" s="9" t="s">
        <v>132</v>
      </c>
      <c r="E15" s="9" t="s">
        <v>133</v>
      </c>
      <c r="F15" s="9" t="s">
        <v>185</v>
      </c>
      <c r="G15" s="9" t="s">
        <v>186</v>
      </c>
      <c r="H15" s="9" t="s">
        <v>187</v>
      </c>
      <c r="I15" s="9" t="n">
        <v>-95</v>
      </c>
      <c r="J15" s="9" t="s">
        <v>137</v>
      </c>
      <c r="K15" s="9" t="s">
        <v>116</v>
      </c>
    </row>
    <row r="16" customFormat="false" ht="15" hidden="false" customHeight="false" outlineLevel="0" collapsed="false">
      <c r="A16" s="9" t="s">
        <v>188</v>
      </c>
      <c r="B16" s="9" t="n">
        <v>9000121</v>
      </c>
      <c r="C16" s="9" t="s">
        <v>41</v>
      </c>
      <c r="D16" s="9" t="s">
        <v>132</v>
      </c>
      <c r="E16" s="9" t="s">
        <v>133</v>
      </c>
      <c r="F16" s="9" t="s">
        <v>134</v>
      </c>
      <c r="G16" s="9" t="s">
        <v>186</v>
      </c>
      <c r="H16" s="9" t="s">
        <v>187</v>
      </c>
      <c r="I16" s="9" t="n">
        <v>-95</v>
      </c>
      <c r="J16" s="9" t="s">
        <v>137</v>
      </c>
      <c r="K16" s="9" t="s">
        <v>116</v>
      </c>
    </row>
    <row r="17" customFormat="false" ht="15" hidden="false" customHeight="false" outlineLevel="0" collapsed="false">
      <c r="A17" s="9" t="s">
        <v>189</v>
      </c>
      <c r="B17" s="9" t="n">
        <v>9000160</v>
      </c>
      <c r="C17" s="9" t="s">
        <v>41</v>
      </c>
      <c r="D17" s="9" t="s">
        <v>132</v>
      </c>
      <c r="E17" s="9" t="s">
        <v>133</v>
      </c>
      <c r="F17" s="9" t="s">
        <v>190</v>
      </c>
      <c r="G17" s="9" t="s">
        <v>191</v>
      </c>
      <c r="H17" s="9" t="s">
        <v>192</v>
      </c>
      <c r="I17" s="9" t="n">
        <v>-73</v>
      </c>
      <c r="J17" s="9" t="s">
        <v>137</v>
      </c>
      <c r="K17" s="9" t="s">
        <v>116</v>
      </c>
    </row>
    <row r="18" customFormat="false" ht="15" hidden="false" customHeight="false" outlineLevel="0" collapsed="false">
      <c r="A18" s="9" t="s">
        <v>193</v>
      </c>
      <c r="B18" s="9" t="n">
        <v>9000186</v>
      </c>
      <c r="C18" s="9" t="s">
        <v>41</v>
      </c>
      <c r="D18" s="9" t="s">
        <v>132</v>
      </c>
      <c r="E18" s="9" t="s">
        <v>133</v>
      </c>
      <c r="F18" s="9" t="s">
        <v>194</v>
      </c>
      <c r="G18" s="9" t="s">
        <v>195</v>
      </c>
      <c r="H18" s="9" t="s">
        <v>196</v>
      </c>
      <c r="I18" s="9" t="n">
        <v>-60</v>
      </c>
      <c r="J18" s="9" t="s">
        <v>137</v>
      </c>
      <c r="K18" s="9" t="s">
        <v>116</v>
      </c>
    </row>
    <row r="19" customFormat="false" ht="15" hidden="false" customHeight="false" outlineLevel="0" collapsed="false">
      <c r="A19" s="9" t="s">
        <v>197</v>
      </c>
      <c r="B19" s="9" t="n">
        <v>9000187</v>
      </c>
      <c r="C19" s="9" t="s">
        <v>41</v>
      </c>
      <c r="D19" s="9" t="s">
        <v>132</v>
      </c>
      <c r="E19" s="9" t="s">
        <v>133</v>
      </c>
      <c r="F19" s="9" t="s">
        <v>198</v>
      </c>
      <c r="G19" s="9" t="s">
        <v>195</v>
      </c>
      <c r="H19" s="9" t="s">
        <v>196</v>
      </c>
      <c r="I19" s="9" t="n">
        <v>-60</v>
      </c>
      <c r="J19" s="9" t="s">
        <v>137</v>
      </c>
      <c r="K19" s="9" t="s">
        <v>116</v>
      </c>
    </row>
    <row r="20" customFormat="false" ht="15" hidden="false" customHeight="false" outlineLevel="0" collapsed="false">
      <c r="A20" s="9" t="s">
        <v>199</v>
      </c>
      <c r="B20" s="9" t="n">
        <v>9000188</v>
      </c>
      <c r="C20" s="9" t="s">
        <v>41</v>
      </c>
      <c r="D20" s="9" t="s">
        <v>132</v>
      </c>
      <c r="E20" s="9" t="s">
        <v>133</v>
      </c>
      <c r="F20" s="9" t="s">
        <v>200</v>
      </c>
      <c r="G20" s="9" t="s">
        <v>195</v>
      </c>
      <c r="H20" s="9" t="s">
        <v>196</v>
      </c>
      <c r="I20" s="9" t="n">
        <v>-60</v>
      </c>
      <c r="J20" s="9" t="s">
        <v>137</v>
      </c>
      <c r="K20" s="9" t="s">
        <v>116</v>
      </c>
    </row>
    <row r="21" customFormat="false" ht="15" hidden="false" customHeight="false" outlineLevel="0" collapsed="false">
      <c r="A21" s="9" t="s">
        <v>201</v>
      </c>
      <c r="B21" s="9" t="n">
        <v>9000193</v>
      </c>
      <c r="C21" s="9" t="s">
        <v>41</v>
      </c>
      <c r="D21" s="9" t="s">
        <v>132</v>
      </c>
      <c r="E21" s="9" t="s">
        <v>133</v>
      </c>
      <c r="F21" s="9" t="s">
        <v>202</v>
      </c>
      <c r="G21" s="9" t="s">
        <v>195</v>
      </c>
      <c r="H21" s="9" t="s">
        <v>196</v>
      </c>
      <c r="I21" s="9" t="n">
        <v>-60</v>
      </c>
      <c r="J21" s="9" t="s">
        <v>137</v>
      </c>
      <c r="K21" s="9" t="s">
        <v>116</v>
      </c>
    </row>
    <row r="22" customFormat="false" ht="15" hidden="false" customHeight="false" outlineLevel="0" collapsed="false">
      <c r="A22" s="9" t="s">
        <v>203</v>
      </c>
      <c r="B22" s="9" t="n">
        <v>9000197</v>
      </c>
      <c r="C22" s="9" t="s">
        <v>41</v>
      </c>
      <c r="D22" s="9" t="s">
        <v>132</v>
      </c>
      <c r="E22" s="9" t="s">
        <v>133</v>
      </c>
      <c r="F22" s="9" t="s">
        <v>204</v>
      </c>
      <c r="G22" s="9" t="s">
        <v>205</v>
      </c>
      <c r="H22" s="9" t="s">
        <v>206</v>
      </c>
      <c r="I22" s="9" t="n">
        <v>-59</v>
      </c>
      <c r="J22" s="9" t="s">
        <v>137</v>
      </c>
      <c r="K22" s="9" t="s">
        <v>116</v>
      </c>
    </row>
    <row r="23" customFormat="false" ht="15" hidden="false" customHeight="false" outlineLevel="0" collapsed="false">
      <c r="A23" s="9" t="s">
        <v>207</v>
      </c>
      <c r="B23" s="9" t="n">
        <v>9000206</v>
      </c>
      <c r="C23" s="9" t="s">
        <v>41</v>
      </c>
      <c r="D23" s="9" t="s">
        <v>132</v>
      </c>
      <c r="E23" s="9" t="s">
        <v>133</v>
      </c>
      <c r="F23" s="9" t="s">
        <v>208</v>
      </c>
      <c r="G23" s="9" t="s">
        <v>209</v>
      </c>
      <c r="H23" s="9" t="s">
        <v>210</v>
      </c>
      <c r="I23" s="9" t="n">
        <v>-58</v>
      </c>
      <c r="J23" s="9" t="s">
        <v>137</v>
      </c>
      <c r="K23" s="9" t="s">
        <v>116</v>
      </c>
    </row>
    <row r="24" customFormat="false" ht="15" hidden="false" customHeight="false" outlineLevel="0" collapsed="false">
      <c r="A24" s="9" t="s">
        <v>211</v>
      </c>
      <c r="B24" s="9" t="n">
        <v>9000210</v>
      </c>
      <c r="C24" s="9" t="s">
        <v>41</v>
      </c>
      <c r="D24" s="9" t="s">
        <v>132</v>
      </c>
      <c r="E24" s="9" t="s">
        <v>133</v>
      </c>
      <c r="F24" s="9" t="s">
        <v>212</v>
      </c>
      <c r="G24" s="9" t="s">
        <v>213</v>
      </c>
      <c r="H24" s="9" t="s">
        <v>214</v>
      </c>
      <c r="I24" s="9" t="n">
        <v>-54</v>
      </c>
      <c r="J24" s="9" t="s">
        <v>137</v>
      </c>
      <c r="K24" s="9" t="s">
        <v>116</v>
      </c>
    </row>
    <row r="25" customFormat="false" ht="15" hidden="false" customHeight="false" outlineLevel="0" collapsed="false">
      <c r="A25" s="9" t="s">
        <v>215</v>
      </c>
      <c r="B25" s="9" t="n">
        <v>9000236</v>
      </c>
      <c r="C25" s="9" t="s">
        <v>41</v>
      </c>
      <c r="D25" s="9" t="s">
        <v>132</v>
      </c>
      <c r="E25" s="9" t="s">
        <v>133</v>
      </c>
      <c r="F25" s="9" t="s">
        <v>216</v>
      </c>
      <c r="G25" s="9" t="s">
        <v>217</v>
      </c>
      <c r="H25" s="9" t="s">
        <v>218</v>
      </c>
      <c r="I25" s="9" t="n">
        <v>-48</v>
      </c>
      <c r="J25" s="9" t="s">
        <v>137</v>
      </c>
      <c r="K25" s="9" t="s">
        <v>116</v>
      </c>
    </row>
    <row r="26" customFormat="false" ht="15" hidden="false" customHeight="false" outlineLevel="0" collapsed="false">
      <c r="A26" s="9" t="s">
        <v>219</v>
      </c>
      <c r="B26" s="9" t="n">
        <v>9000254</v>
      </c>
      <c r="C26" s="9" t="s">
        <v>41</v>
      </c>
      <c r="D26" s="9" t="s">
        <v>132</v>
      </c>
      <c r="E26" s="9" t="s">
        <v>133</v>
      </c>
      <c r="F26" s="9" t="s">
        <v>220</v>
      </c>
      <c r="G26" s="9" t="s">
        <v>221</v>
      </c>
      <c r="H26" s="9" t="s">
        <v>222</v>
      </c>
      <c r="I26" s="9" t="n">
        <v>-45</v>
      </c>
      <c r="J26" s="9" t="s">
        <v>137</v>
      </c>
      <c r="K26" s="9" t="s">
        <v>116</v>
      </c>
    </row>
    <row r="27" customFormat="false" ht="15" hidden="false" customHeight="false" outlineLevel="0" collapsed="false">
      <c r="A27" s="9" t="s">
        <v>223</v>
      </c>
      <c r="B27" s="9" t="n">
        <v>9000304</v>
      </c>
      <c r="C27" s="9" t="s">
        <v>41</v>
      </c>
      <c r="D27" s="9" t="s">
        <v>132</v>
      </c>
      <c r="E27" s="9" t="s">
        <v>133</v>
      </c>
      <c r="F27" s="9" t="s">
        <v>224</v>
      </c>
      <c r="G27" s="9" t="s">
        <v>225</v>
      </c>
      <c r="H27" s="9" t="s">
        <v>226</v>
      </c>
      <c r="I27" s="9" t="n">
        <v>-30</v>
      </c>
      <c r="J27" s="9" t="s">
        <v>137</v>
      </c>
      <c r="K27" s="9" t="s">
        <v>116</v>
      </c>
    </row>
    <row r="28" customFormat="false" ht="15" hidden="false" customHeight="false" outlineLevel="0" collapsed="false">
      <c r="A28" s="9" t="s">
        <v>227</v>
      </c>
      <c r="B28" s="9" t="n">
        <v>9000309</v>
      </c>
      <c r="C28" s="9" t="s">
        <v>41</v>
      </c>
      <c r="D28" s="9" t="s">
        <v>132</v>
      </c>
      <c r="E28" s="9" t="s">
        <v>133</v>
      </c>
      <c r="F28" s="9" t="s">
        <v>228</v>
      </c>
      <c r="G28" s="9" t="s">
        <v>229</v>
      </c>
      <c r="H28" s="9" t="s">
        <v>230</v>
      </c>
      <c r="I28" s="9" t="n">
        <v>-26</v>
      </c>
      <c r="J28" s="9" t="s">
        <v>137</v>
      </c>
      <c r="K28" s="9" t="s">
        <v>116</v>
      </c>
    </row>
    <row r="29" customFormat="false" ht="15" hidden="false" customHeight="false" outlineLevel="0" collapsed="false">
      <c r="A29" s="9" t="s">
        <v>231</v>
      </c>
      <c r="B29" s="9" t="n">
        <v>9000340</v>
      </c>
      <c r="C29" s="9" t="s">
        <v>41</v>
      </c>
      <c r="D29" s="9" t="s">
        <v>132</v>
      </c>
      <c r="E29" s="9" t="s">
        <v>133</v>
      </c>
      <c r="F29" s="9" t="s">
        <v>232</v>
      </c>
      <c r="G29" s="9" t="s">
        <v>233</v>
      </c>
      <c r="H29" s="9" t="s">
        <v>234</v>
      </c>
      <c r="I29" s="9" t="n">
        <v>-18</v>
      </c>
      <c r="J29" s="9" t="s">
        <v>137</v>
      </c>
      <c r="K29" s="9" t="s">
        <v>116</v>
      </c>
    </row>
    <row r="30" customFormat="false" ht="15" hidden="false" customHeight="false" outlineLevel="0" collapsed="false">
      <c r="A30" s="9" t="s">
        <v>235</v>
      </c>
      <c r="B30" s="9" t="n">
        <v>9000345</v>
      </c>
      <c r="C30" s="9" t="s">
        <v>41</v>
      </c>
      <c r="D30" s="9" t="s">
        <v>132</v>
      </c>
      <c r="E30" s="9" t="s">
        <v>133</v>
      </c>
      <c r="F30" s="9" t="s">
        <v>236</v>
      </c>
      <c r="G30" s="9" t="s">
        <v>233</v>
      </c>
      <c r="H30" s="9" t="s">
        <v>234</v>
      </c>
      <c r="I30" s="9" t="n">
        <v>-18</v>
      </c>
      <c r="J30" s="9" t="s">
        <v>137</v>
      </c>
      <c r="K30" s="9" t="s">
        <v>116</v>
      </c>
    </row>
    <row r="31" customFormat="false" ht="15" hidden="false" customHeight="false" outlineLevel="0" collapsed="false">
      <c r="A31" s="9" t="s">
        <v>237</v>
      </c>
      <c r="B31" s="9" t="n">
        <v>9000353</v>
      </c>
      <c r="C31" s="9" t="s">
        <v>41</v>
      </c>
      <c r="D31" s="9" t="s">
        <v>132</v>
      </c>
      <c r="E31" s="9" t="s">
        <v>133</v>
      </c>
      <c r="F31" s="9" t="s">
        <v>238</v>
      </c>
      <c r="G31" s="9" t="s">
        <v>239</v>
      </c>
      <c r="H31" s="9" t="s">
        <v>240</v>
      </c>
      <c r="I31" s="9" t="n">
        <v>-17</v>
      </c>
      <c r="J31" s="9" t="s">
        <v>137</v>
      </c>
      <c r="K31" s="9" t="s">
        <v>116</v>
      </c>
    </row>
    <row r="32" customFormat="false" ht="15" hidden="false" customHeight="false" outlineLevel="0" collapsed="false">
      <c r="A32" s="9" t="s">
        <v>241</v>
      </c>
      <c r="B32" s="9" t="n">
        <v>9000367</v>
      </c>
      <c r="C32" s="9" t="s">
        <v>41</v>
      </c>
      <c r="D32" s="9" t="s">
        <v>132</v>
      </c>
      <c r="E32" s="9" t="s">
        <v>133</v>
      </c>
      <c r="F32" s="9" t="s">
        <v>242</v>
      </c>
      <c r="G32" s="9" t="s">
        <v>243</v>
      </c>
      <c r="H32" s="9" t="s">
        <v>244</v>
      </c>
      <c r="I32" s="9" t="n">
        <v>-13</v>
      </c>
      <c r="J32" s="9" t="s">
        <v>137</v>
      </c>
      <c r="K32" s="9" t="s">
        <v>116</v>
      </c>
    </row>
    <row r="33" customFormat="false" ht="15" hidden="false" customHeight="false" outlineLevel="0" collapsed="false">
      <c r="A33" s="9" t="s">
        <v>245</v>
      </c>
      <c r="B33" s="9" t="n">
        <v>9000369</v>
      </c>
      <c r="C33" s="9" t="s">
        <v>41</v>
      </c>
      <c r="D33" s="9" t="s">
        <v>132</v>
      </c>
      <c r="E33" s="9" t="s">
        <v>133</v>
      </c>
      <c r="F33" s="9" t="s">
        <v>246</v>
      </c>
      <c r="G33" s="9" t="s">
        <v>243</v>
      </c>
      <c r="H33" s="9" t="s">
        <v>244</v>
      </c>
      <c r="I33" s="9" t="n">
        <v>-13</v>
      </c>
      <c r="J33" s="9" t="s">
        <v>137</v>
      </c>
      <c r="K33" s="9" t="s">
        <v>116</v>
      </c>
    </row>
    <row r="34" customFormat="false" ht="15" hidden="false" customHeight="false" outlineLevel="0" collapsed="false">
      <c r="A34" s="9" t="s">
        <v>247</v>
      </c>
      <c r="B34" s="9" t="n">
        <v>9000381</v>
      </c>
      <c r="C34" s="9" t="s">
        <v>41</v>
      </c>
      <c r="D34" s="9" t="s">
        <v>132</v>
      </c>
      <c r="E34" s="9" t="s">
        <v>133</v>
      </c>
      <c r="F34" s="9" t="s">
        <v>228</v>
      </c>
      <c r="G34" s="9" t="s">
        <v>248</v>
      </c>
      <c r="H34" s="9" t="s">
        <v>249</v>
      </c>
      <c r="I34" s="9" t="n">
        <v>-11</v>
      </c>
      <c r="J34" s="9" t="s">
        <v>137</v>
      </c>
      <c r="K34" s="9" t="s">
        <v>116</v>
      </c>
    </row>
    <row r="35" customFormat="false" ht="15" hidden="false" customHeight="false" outlineLevel="0" collapsed="false">
      <c r="A35" s="9" t="s">
        <v>250</v>
      </c>
      <c r="B35" s="9" t="n">
        <v>9000389</v>
      </c>
      <c r="C35" s="9" t="s">
        <v>41</v>
      </c>
      <c r="D35" s="9" t="s">
        <v>132</v>
      </c>
      <c r="E35" s="9" t="s">
        <v>133</v>
      </c>
      <c r="F35" s="9" t="s">
        <v>251</v>
      </c>
      <c r="G35" s="9" t="s">
        <v>226</v>
      </c>
      <c r="H35" s="9" t="s">
        <v>252</v>
      </c>
      <c r="I35" s="9" t="n">
        <v>-10</v>
      </c>
      <c r="J35" s="9" t="s">
        <v>137</v>
      </c>
      <c r="K35" s="9" t="s">
        <v>116</v>
      </c>
    </row>
    <row r="36" customFormat="false" ht="15" hidden="false" customHeight="false" outlineLevel="0" collapsed="false">
      <c r="A36" s="9" t="s">
        <v>253</v>
      </c>
      <c r="B36" s="9" t="n">
        <v>9000393</v>
      </c>
      <c r="C36" s="9" t="s">
        <v>41</v>
      </c>
      <c r="D36" s="9" t="s">
        <v>132</v>
      </c>
      <c r="E36" s="9" t="s">
        <v>133</v>
      </c>
      <c r="F36" s="9" t="s">
        <v>254</v>
      </c>
      <c r="G36" s="9" t="s">
        <v>226</v>
      </c>
      <c r="H36" s="9" t="s">
        <v>252</v>
      </c>
      <c r="I36" s="9" t="n">
        <v>-10</v>
      </c>
      <c r="J36" s="9" t="s">
        <v>137</v>
      </c>
      <c r="K36" s="9" t="s">
        <v>116</v>
      </c>
    </row>
    <row r="37" customFormat="false" ht="15" hidden="false" customHeight="false" outlineLevel="0" collapsed="false">
      <c r="A37" s="9" t="s">
        <v>255</v>
      </c>
      <c r="B37" s="9" t="n">
        <v>9000397</v>
      </c>
      <c r="C37" s="9" t="s">
        <v>41</v>
      </c>
      <c r="D37" s="9" t="s">
        <v>132</v>
      </c>
      <c r="E37" s="9" t="s">
        <v>133</v>
      </c>
      <c r="F37" s="9" t="s">
        <v>256</v>
      </c>
      <c r="G37" s="9" t="s">
        <v>226</v>
      </c>
      <c r="H37" s="9" t="s">
        <v>252</v>
      </c>
      <c r="I37" s="9" t="n">
        <v>-10</v>
      </c>
      <c r="J37" s="9" t="s">
        <v>137</v>
      </c>
      <c r="K37" s="9" t="s">
        <v>116</v>
      </c>
    </row>
    <row r="38" customFormat="false" ht="15" hidden="false" customHeight="false" outlineLevel="0" collapsed="false">
      <c r="A38" s="9" t="s">
        <v>257</v>
      </c>
      <c r="B38" s="9" t="n">
        <v>9000403</v>
      </c>
      <c r="C38" s="9" t="s">
        <v>41</v>
      </c>
      <c r="D38" s="9" t="s">
        <v>132</v>
      </c>
      <c r="E38" s="9" t="s">
        <v>133</v>
      </c>
      <c r="F38" s="9" t="s">
        <v>258</v>
      </c>
      <c r="G38" s="9" t="s">
        <v>230</v>
      </c>
      <c r="H38" s="9" t="s">
        <v>259</v>
      </c>
      <c r="I38" s="9" t="n">
        <v>-6</v>
      </c>
      <c r="J38" s="9" t="s">
        <v>137</v>
      </c>
      <c r="K38" s="9" t="s">
        <v>116</v>
      </c>
    </row>
    <row r="39" customFormat="false" ht="15" hidden="false" customHeight="false" outlineLevel="0" collapsed="false">
      <c r="A39" s="9" t="s">
        <v>260</v>
      </c>
      <c r="B39" s="9" t="n">
        <v>9000406</v>
      </c>
      <c r="C39" s="9" t="s">
        <v>41</v>
      </c>
      <c r="D39" s="9" t="s">
        <v>132</v>
      </c>
      <c r="E39" s="9" t="s">
        <v>133</v>
      </c>
      <c r="F39" s="9" t="s">
        <v>238</v>
      </c>
      <c r="G39" s="9" t="s">
        <v>230</v>
      </c>
      <c r="H39" s="9" t="s">
        <v>259</v>
      </c>
      <c r="I39" s="9" t="n">
        <v>-6</v>
      </c>
      <c r="J39" s="9" t="s">
        <v>137</v>
      </c>
      <c r="K39" s="9" t="s">
        <v>116</v>
      </c>
    </row>
    <row r="40" customFormat="false" ht="15" hidden="false" customHeight="false" outlineLevel="0" collapsed="false">
      <c r="A40" s="9" t="s">
        <v>261</v>
      </c>
      <c r="B40" s="9" t="n">
        <v>9000407</v>
      </c>
      <c r="C40" s="9" t="s">
        <v>41</v>
      </c>
      <c r="D40" s="9" t="s">
        <v>132</v>
      </c>
      <c r="E40" s="9" t="s">
        <v>133</v>
      </c>
      <c r="F40" s="9" t="s">
        <v>200</v>
      </c>
      <c r="G40" s="9" t="s">
        <v>230</v>
      </c>
      <c r="H40" s="9" t="s">
        <v>259</v>
      </c>
      <c r="I40" s="9" t="n">
        <v>-6</v>
      </c>
      <c r="J40" s="9" t="s">
        <v>137</v>
      </c>
      <c r="K40" s="9" t="s">
        <v>116</v>
      </c>
    </row>
    <row r="41" customFormat="false" ht="15" hidden="false" customHeight="false" outlineLevel="0" collapsed="false">
      <c r="A41" s="9" t="s">
        <v>262</v>
      </c>
      <c r="B41" s="9" t="n">
        <v>9000408</v>
      </c>
      <c r="C41" s="9" t="s">
        <v>41</v>
      </c>
      <c r="D41" s="9" t="s">
        <v>132</v>
      </c>
      <c r="E41" s="9" t="s">
        <v>133</v>
      </c>
      <c r="F41" s="9" t="s">
        <v>200</v>
      </c>
      <c r="G41" s="9" t="s">
        <v>230</v>
      </c>
      <c r="H41" s="9" t="s">
        <v>259</v>
      </c>
      <c r="I41" s="9" t="n">
        <v>-6</v>
      </c>
      <c r="J41" s="9" t="s">
        <v>137</v>
      </c>
      <c r="K41" s="9" t="s">
        <v>116</v>
      </c>
    </row>
    <row r="42" customFormat="false" ht="15" hidden="false" customHeight="false" outlineLevel="0" collapsed="false">
      <c r="A42" s="9" t="s">
        <v>263</v>
      </c>
      <c r="B42" s="9" t="n">
        <v>9000413</v>
      </c>
      <c r="C42" s="9" t="s">
        <v>41</v>
      </c>
      <c r="D42" s="9" t="s">
        <v>132</v>
      </c>
      <c r="E42" s="9" t="s">
        <v>133</v>
      </c>
      <c r="F42" s="9" t="s">
        <v>264</v>
      </c>
      <c r="G42" s="9" t="s">
        <v>265</v>
      </c>
      <c r="H42" s="9" t="s">
        <v>266</v>
      </c>
      <c r="I42" s="9" t="n">
        <v>-5</v>
      </c>
      <c r="J42" s="9" t="s">
        <v>137</v>
      </c>
      <c r="K42" s="9" t="s">
        <v>116</v>
      </c>
    </row>
    <row r="43" customFormat="false" ht="15" hidden="false" customHeight="false" outlineLevel="0" collapsed="false">
      <c r="A43" s="9" t="s">
        <v>267</v>
      </c>
      <c r="B43" s="9" t="n">
        <v>9000414</v>
      </c>
      <c r="C43" s="9" t="s">
        <v>41</v>
      </c>
      <c r="D43" s="9" t="s">
        <v>132</v>
      </c>
      <c r="E43" s="9" t="s">
        <v>133</v>
      </c>
      <c r="F43" s="9" t="s">
        <v>268</v>
      </c>
      <c r="G43" s="9" t="s">
        <v>265</v>
      </c>
      <c r="H43" s="9" t="s">
        <v>266</v>
      </c>
      <c r="I43" s="9" t="n">
        <v>-5</v>
      </c>
      <c r="J43" s="9" t="s">
        <v>137</v>
      </c>
      <c r="K43" s="9" t="s">
        <v>116</v>
      </c>
    </row>
    <row r="44" customFormat="false" ht="15" hidden="false" customHeight="false" outlineLevel="0" collapsed="false">
      <c r="A44" s="9" t="s">
        <v>269</v>
      </c>
      <c r="B44" s="9" t="n">
        <v>9000415</v>
      </c>
      <c r="C44" s="9" t="s">
        <v>41</v>
      </c>
      <c r="D44" s="9" t="s">
        <v>132</v>
      </c>
      <c r="E44" s="9" t="s">
        <v>133</v>
      </c>
      <c r="F44" s="9" t="s">
        <v>270</v>
      </c>
      <c r="G44" s="9" t="s">
        <v>265</v>
      </c>
      <c r="H44" s="9" t="s">
        <v>266</v>
      </c>
      <c r="I44" s="9" t="n">
        <v>-5</v>
      </c>
      <c r="J44" s="9" t="s">
        <v>137</v>
      </c>
      <c r="K44" s="9" t="s">
        <v>116</v>
      </c>
    </row>
    <row r="45" customFormat="false" ht="15" hidden="false" customHeight="false" outlineLevel="0" collapsed="false">
      <c r="A45" s="9" t="s">
        <v>271</v>
      </c>
      <c r="B45" s="9" t="n">
        <v>9000425</v>
      </c>
      <c r="C45" s="9" t="s">
        <v>41</v>
      </c>
      <c r="D45" s="9" t="s">
        <v>132</v>
      </c>
      <c r="E45" s="9" t="s">
        <v>133</v>
      </c>
      <c r="F45" s="9" t="s">
        <v>272</v>
      </c>
      <c r="G45" s="9" t="s">
        <v>273</v>
      </c>
      <c r="H45" s="9" t="s">
        <v>274</v>
      </c>
      <c r="I45" s="9" t="n">
        <v>-4</v>
      </c>
      <c r="J45" s="9" t="s">
        <v>137</v>
      </c>
      <c r="K45" s="9" t="s">
        <v>116</v>
      </c>
    </row>
    <row r="46" customFormat="false" ht="15" hidden="false" customHeight="false" outlineLevel="0" collapsed="false">
      <c r="A46" s="9" t="s">
        <v>275</v>
      </c>
      <c r="B46" s="9" t="n">
        <v>9000428</v>
      </c>
      <c r="C46" s="9" t="s">
        <v>41</v>
      </c>
      <c r="D46" s="9" t="s">
        <v>132</v>
      </c>
      <c r="E46" s="9" t="s">
        <v>133</v>
      </c>
      <c r="F46" s="9" t="s">
        <v>276</v>
      </c>
      <c r="G46" s="9" t="s">
        <v>277</v>
      </c>
      <c r="H46" s="9" t="s">
        <v>278</v>
      </c>
      <c r="I46" s="9" t="n">
        <v>-3</v>
      </c>
      <c r="J46" s="9" t="s">
        <v>137</v>
      </c>
      <c r="K46" s="9" t="s">
        <v>116</v>
      </c>
    </row>
    <row r="47" customFormat="false" ht="15" hidden="false" customHeight="false" outlineLevel="0" collapsed="false">
      <c r="A47" s="9" t="s">
        <v>279</v>
      </c>
      <c r="B47" s="9" t="n">
        <v>9000429</v>
      </c>
      <c r="C47" s="9" t="s">
        <v>41</v>
      </c>
      <c r="D47" s="9" t="s">
        <v>132</v>
      </c>
      <c r="E47" s="9" t="s">
        <v>133</v>
      </c>
      <c r="F47" s="9" t="s">
        <v>280</v>
      </c>
      <c r="G47" s="9" t="s">
        <v>277</v>
      </c>
      <c r="H47" s="9" t="s">
        <v>278</v>
      </c>
      <c r="I47" s="9" t="n">
        <v>-3</v>
      </c>
      <c r="J47" s="9" t="s">
        <v>137</v>
      </c>
      <c r="K47" s="9" t="s">
        <v>116</v>
      </c>
    </row>
    <row r="48" customFormat="false" ht="15" hidden="false" customHeight="false" outlineLevel="0" collapsed="false">
      <c r="A48" s="9" t="s">
        <v>281</v>
      </c>
      <c r="B48" s="9" t="n">
        <v>9000430</v>
      </c>
      <c r="C48" s="9" t="s">
        <v>41</v>
      </c>
      <c r="D48" s="9" t="s">
        <v>132</v>
      </c>
      <c r="E48" s="9" t="s">
        <v>133</v>
      </c>
      <c r="F48" s="9" t="s">
        <v>282</v>
      </c>
      <c r="G48" s="9" t="s">
        <v>277</v>
      </c>
      <c r="H48" s="9" t="s">
        <v>278</v>
      </c>
      <c r="I48" s="9" t="n">
        <v>-3</v>
      </c>
      <c r="J48" s="9" t="s">
        <v>137</v>
      </c>
      <c r="K48" s="9" t="s">
        <v>116</v>
      </c>
    </row>
    <row r="49" customFormat="false" ht="15" hidden="false" customHeight="false" outlineLevel="0" collapsed="false">
      <c r="A49" s="9" t="s">
        <v>283</v>
      </c>
      <c r="B49" s="9" t="n">
        <v>9000431</v>
      </c>
      <c r="C49" s="9" t="s">
        <v>41</v>
      </c>
      <c r="D49" s="9" t="s">
        <v>132</v>
      </c>
      <c r="E49" s="9" t="s">
        <v>133</v>
      </c>
      <c r="F49" s="9" t="s">
        <v>284</v>
      </c>
      <c r="G49" s="9" t="s">
        <v>285</v>
      </c>
      <c r="H49" s="9" t="s">
        <v>286</v>
      </c>
      <c r="I49" s="9" t="n">
        <v>-2</v>
      </c>
      <c r="J49" s="9" t="s">
        <v>137</v>
      </c>
      <c r="K49" s="9" t="s">
        <v>116</v>
      </c>
    </row>
    <row r="50" customFormat="false" ht="15" hidden="false" customHeight="false" outlineLevel="0" collapsed="false">
      <c r="A50" s="9" t="s">
        <v>287</v>
      </c>
      <c r="B50" s="9" t="n">
        <v>9000432</v>
      </c>
      <c r="C50" s="9" t="s">
        <v>41</v>
      </c>
      <c r="D50" s="9" t="s">
        <v>132</v>
      </c>
      <c r="E50" s="9" t="s">
        <v>133</v>
      </c>
      <c r="F50" s="9" t="s">
        <v>232</v>
      </c>
      <c r="G50" s="9" t="s">
        <v>285</v>
      </c>
      <c r="H50" s="9" t="s">
        <v>286</v>
      </c>
      <c r="I50" s="9" t="n">
        <v>-2</v>
      </c>
      <c r="J50" s="9" t="s">
        <v>137</v>
      </c>
      <c r="K50" s="9" t="s">
        <v>116</v>
      </c>
    </row>
    <row r="51" customFormat="false" ht="15" hidden="false" customHeight="false" outlineLevel="0" collapsed="false">
      <c r="A51" s="9" t="s">
        <v>288</v>
      </c>
      <c r="B51" s="9" t="n">
        <v>9000434</v>
      </c>
      <c r="C51" s="9" t="s">
        <v>41</v>
      </c>
      <c r="D51" s="9" t="s">
        <v>132</v>
      </c>
      <c r="E51" s="9" t="s">
        <v>133</v>
      </c>
      <c r="F51" s="9" t="s">
        <v>289</v>
      </c>
      <c r="G51" s="9" t="s">
        <v>285</v>
      </c>
      <c r="H51" s="9" t="s">
        <v>286</v>
      </c>
      <c r="I51" s="9" t="n">
        <v>-2</v>
      </c>
      <c r="J51" s="9" t="s">
        <v>137</v>
      </c>
      <c r="K51" s="9" t="s">
        <v>116</v>
      </c>
    </row>
    <row r="52" customFormat="false" ht="15" hidden="false" customHeight="false" outlineLevel="0" collapsed="false">
      <c r="A52" s="9" t="s">
        <v>290</v>
      </c>
      <c r="B52" s="9" t="n">
        <v>9000436</v>
      </c>
      <c r="C52" s="9" t="s">
        <v>41</v>
      </c>
      <c r="D52" s="9" t="s">
        <v>132</v>
      </c>
      <c r="E52" s="9" t="s">
        <v>133</v>
      </c>
      <c r="F52" s="9" t="s">
        <v>159</v>
      </c>
      <c r="G52" s="9" t="s">
        <v>291</v>
      </c>
      <c r="H52" s="9" t="s">
        <v>292</v>
      </c>
      <c r="I52" s="9" t="n">
        <v>1</v>
      </c>
      <c r="J52" s="9" t="s">
        <v>293</v>
      </c>
      <c r="K52" s="9" t="s">
        <v>116</v>
      </c>
    </row>
    <row r="53" customFormat="false" ht="15" hidden="false" customHeight="false" outlineLevel="0" collapsed="false">
      <c r="A53" s="9" t="s">
        <v>294</v>
      </c>
      <c r="B53" s="9" t="n">
        <v>9000437</v>
      </c>
      <c r="C53" s="9" t="s">
        <v>41</v>
      </c>
      <c r="D53" s="9" t="s">
        <v>132</v>
      </c>
      <c r="E53" s="9" t="s">
        <v>133</v>
      </c>
      <c r="F53" s="9" t="s">
        <v>251</v>
      </c>
      <c r="G53" s="9" t="s">
        <v>291</v>
      </c>
      <c r="H53" s="9" t="s">
        <v>292</v>
      </c>
      <c r="I53" s="9" t="n">
        <v>1</v>
      </c>
      <c r="J53" s="9" t="s">
        <v>293</v>
      </c>
      <c r="K53" s="9" t="s">
        <v>116</v>
      </c>
    </row>
    <row r="54" customFormat="false" ht="15" hidden="false" customHeight="false" outlineLevel="0" collapsed="false">
      <c r="A54" s="9" t="s">
        <v>295</v>
      </c>
      <c r="B54" s="9" t="n">
        <v>9000439</v>
      </c>
      <c r="C54" s="9" t="s">
        <v>41</v>
      </c>
      <c r="D54" s="9" t="s">
        <v>132</v>
      </c>
      <c r="E54" s="9" t="s">
        <v>133</v>
      </c>
      <c r="F54" s="9" t="s">
        <v>296</v>
      </c>
      <c r="G54" s="9" t="s">
        <v>291</v>
      </c>
      <c r="H54" s="9" t="s">
        <v>292</v>
      </c>
      <c r="I54" s="9" t="n">
        <v>1</v>
      </c>
      <c r="J54" s="9" t="s">
        <v>293</v>
      </c>
      <c r="K54" s="9" t="s">
        <v>116</v>
      </c>
    </row>
    <row r="55" customFormat="false" ht="15" hidden="false" customHeight="false" outlineLevel="0" collapsed="false">
      <c r="A55" s="9" t="s">
        <v>297</v>
      </c>
      <c r="B55" s="9" t="n">
        <v>9000442</v>
      </c>
      <c r="C55" s="9" t="s">
        <v>41</v>
      </c>
      <c r="D55" s="9" t="s">
        <v>132</v>
      </c>
      <c r="E55" s="9" t="s">
        <v>133</v>
      </c>
      <c r="F55" s="9" t="s">
        <v>298</v>
      </c>
      <c r="G55" s="9" t="s">
        <v>291</v>
      </c>
      <c r="H55" s="9" t="s">
        <v>292</v>
      </c>
      <c r="I55" s="9" t="n">
        <v>1</v>
      </c>
      <c r="J55" s="9" t="s">
        <v>293</v>
      </c>
      <c r="K55" s="9" t="s">
        <v>116</v>
      </c>
    </row>
    <row r="56" customFormat="false" ht="15" hidden="false" customHeight="false" outlineLevel="0" collapsed="false">
      <c r="A56" s="9" t="s">
        <v>299</v>
      </c>
      <c r="B56" s="9" t="n">
        <v>9000443</v>
      </c>
      <c r="C56" s="9" t="s">
        <v>41</v>
      </c>
      <c r="D56" s="9" t="s">
        <v>132</v>
      </c>
      <c r="E56" s="9" t="s">
        <v>133</v>
      </c>
      <c r="F56" s="9" t="s">
        <v>300</v>
      </c>
      <c r="G56" s="9" t="s">
        <v>291</v>
      </c>
      <c r="H56" s="9" t="s">
        <v>292</v>
      </c>
      <c r="I56" s="9" t="n">
        <v>1</v>
      </c>
      <c r="J56" s="9" t="s">
        <v>293</v>
      </c>
      <c r="K56" s="9" t="s">
        <v>116</v>
      </c>
    </row>
    <row r="57" customFormat="false" ht="15" hidden="false" customHeight="false" outlineLevel="0" collapsed="false">
      <c r="A57" s="9" t="s">
        <v>301</v>
      </c>
      <c r="B57" s="9" t="n">
        <v>9000446</v>
      </c>
      <c r="C57" s="9" t="s">
        <v>41</v>
      </c>
      <c r="D57" s="9" t="s">
        <v>132</v>
      </c>
      <c r="E57" s="9" t="s">
        <v>133</v>
      </c>
      <c r="F57" s="9" t="s">
        <v>302</v>
      </c>
      <c r="G57" s="9" t="s">
        <v>291</v>
      </c>
      <c r="H57" s="9" t="s">
        <v>292</v>
      </c>
      <c r="I57" s="9" t="n">
        <v>1</v>
      </c>
      <c r="J57" s="9" t="s">
        <v>293</v>
      </c>
      <c r="K57" s="9" t="s">
        <v>116</v>
      </c>
    </row>
    <row r="58" customFormat="false" ht="15" hidden="false" customHeight="false" outlineLevel="0" collapsed="false">
      <c r="A58" s="9" t="s">
        <v>303</v>
      </c>
      <c r="B58" s="9" t="n">
        <v>9000447</v>
      </c>
      <c r="C58" s="9" t="s">
        <v>41</v>
      </c>
      <c r="D58" s="9" t="s">
        <v>132</v>
      </c>
      <c r="E58" s="9" t="s">
        <v>133</v>
      </c>
      <c r="F58" s="9" t="s">
        <v>304</v>
      </c>
      <c r="G58" s="9" t="s">
        <v>291</v>
      </c>
      <c r="H58" s="9" t="s">
        <v>292</v>
      </c>
      <c r="I58" s="9" t="n">
        <v>1</v>
      </c>
      <c r="J58" s="9" t="s">
        <v>293</v>
      </c>
      <c r="K58" s="9" t="s">
        <v>116</v>
      </c>
    </row>
    <row r="59" customFormat="false" ht="15" hidden="false" customHeight="false" outlineLevel="0" collapsed="false">
      <c r="A59" s="9" t="s">
        <v>305</v>
      </c>
      <c r="B59" s="9" t="n">
        <v>9000449</v>
      </c>
      <c r="C59" s="9" t="s">
        <v>41</v>
      </c>
      <c r="D59" s="9" t="s">
        <v>132</v>
      </c>
      <c r="E59" s="9" t="s">
        <v>133</v>
      </c>
      <c r="F59" s="9" t="s">
        <v>306</v>
      </c>
      <c r="G59" s="9" t="s">
        <v>291</v>
      </c>
      <c r="H59" s="9" t="s">
        <v>292</v>
      </c>
      <c r="I59" s="9" t="n">
        <v>1</v>
      </c>
      <c r="J59" s="9" t="s">
        <v>293</v>
      </c>
      <c r="K59" s="9" t="s">
        <v>116</v>
      </c>
    </row>
    <row r="60" customFormat="false" ht="15" hidden="false" customHeight="false" outlineLevel="0" collapsed="false">
      <c r="A60" s="9" t="s">
        <v>307</v>
      </c>
      <c r="B60" s="9" t="n">
        <v>9000450</v>
      </c>
      <c r="C60" s="9" t="s">
        <v>41</v>
      </c>
      <c r="D60" s="9" t="s">
        <v>132</v>
      </c>
      <c r="E60" s="9" t="s">
        <v>133</v>
      </c>
      <c r="F60" s="9" t="s">
        <v>308</v>
      </c>
      <c r="G60" s="9" t="s">
        <v>234</v>
      </c>
      <c r="H60" s="9" t="s">
        <v>309</v>
      </c>
      <c r="I60" s="9" t="n">
        <v>2</v>
      </c>
      <c r="J60" s="9" t="s">
        <v>293</v>
      </c>
      <c r="K60" s="9" t="s">
        <v>116</v>
      </c>
    </row>
    <row r="61" customFormat="false" ht="15" hidden="false" customHeight="false" outlineLevel="0" collapsed="false">
      <c r="A61" s="9" t="s">
        <v>310</v>
      </c>
      <c r="B61" s="9" t="n">
        <v>9000451</v>
      </c>
      <c r="C61" s="9" t="s">
        <v>41</v>
      </c>
      <c r="D61" s="9" t="s">
        <v>132</v>
      </c>
      <c r="E61" s="9" t="s">
        <v>133</v>
      </c>
      <c r="F61" s="9" t="s">
        <v>311</v>
      </c>
      <c r="G61" s="9" t="s">
        <v>234</v>
      </c>
      <c r="H61" s="9" t="s">
        <v>309</v>
      </c>
      <c r="I61" s="9" t="n">
        <v>2</v>
      </c>
      <c r="J61" s="9" t="s">
        <v>293</v>
      </c>
      <c r="K61" s="9" t="s">
        <v>116</v>
      </c>
    </row>
    <row r="62" customFormat="false" ht="15" hidden="false" customHeight="false" outlineLevel="0" collapsed="false">
      <c r="A62" s="9" t="s">
        <v>312</v>
      </c>
      <c r="B62" s="9" t="n">
        <v>9000452</v>
      </c>
      <c r="C62" s="9" t="s">
        <v>41</v>
      </c>
      <c r="D62" s="9" t="s">
        <v>132</v>
      </c>
      <c r="E62" s="9" t="s">
        <v>133</v>
      </c>
      <c r="F62" s="9" t="s">
        <v>147</v>
      </c>
      <c r="G62" s="9" t="s">
        <v>234</v>
      </c>
      <c r="H62" s="9" t="s">
        <v>309</v>
      </c>
      <c r="I62" s="9" t="n">
        <v>2</v>
      </c>
      <c r="J62" s="9" t="s">
        <v>293</v>
      </c>
      <c r="K62" s="9" t="s">
        <v>116</v>
      </c>
    </row>
    <row r="63" customFormat="false" ht="15" hidden="false" customHeight="false" outlineLevel="0" collapsed="false">
      <c r="A63" s="9" t="s">
        <v>313</v>
      </c>
      <c r="B63" s="9" t="n">
        <v>9000453</v>
      </c>
      <c r="C63" s="9" t="s">
        <v>41</v>
      </c>
      <c r="D63" s="9" t="s">
        <v>132</v>
      </c>
      <c r="E63" s="9" t="s">
        <v>133</v>
      </c>
      <c r="F63" s="9" t="s">
        <v>314</v>
      </c>
      <c r="G63" s="9" t="s">
        <v>234</v>
      </c>
      <c r="H63" s="9" t="s">
        <v>309</v>
      </c>
      <c r="I63" s="9" t="n">
        <v>2</v>
      </c>
      <c r="J63" s="9" t="s">
        <v>293</v>
      </c>
      <c r="K63" s="9" t="s">
        <v>116</v>
      </c>
    </row>
    <row r="64" customFormat="false" ht="15" hidden="false" customHeight="false" outlineLevel="0" collapsed="false">
      <c r="A64" s="9" t="s">
        <v>315</v>
      </c>
      <c r="B64" s="9" t="n">
        <v>9000454</v>
      </c>
      <c r="C64" s="9" t="s">
        <v>41</v>
      </c>
      <c r="D64" s="9" t="s">
        <v>132</v>
      </c>
      <c r="E64" s="9" t="s">
        <v>133</v>
      </c>
      <c r="F64" s="9" t="s">
        <v>316</v>
      </c>
      <c r="G64" s="9" t="s">
        <v>234</v>
      </c>
      <c r="H64" s="9" t="s">
        <v>309</v>
      </c>
      <c r="I64" s="9" t="n">
        <v>2</v>
      </c>
      <c r="J64" s="9" t="s">
        <v>293</v>
      </c>
      <c r="K64" s="9" t="s">
        <v>116</v>
      </c>
    </row>
    <row r="65" customFormat="false" ht="15" hidden="false" customHeight="false" outlineLevel="0" collapsed="false">
      <c r="A65" s="9" t="s">
        <v>317</v>
      </c>
      <c r="B65" s="9" t="n">
        <v>9000455</v>
      </c>
      <c r="C65" s="9" t="s">
        <v>41</v>
      </c>
      <c r="D65" s="9" t="s">
        <v>132</v>
      </c>
      <c r="E65" s="9" t="s">
        <v>133</v>
      </c>
      <c r="F65" s="9" t="s">
        <v>318</v>
      </c>
      <c r="G65" s="9" t="s">
        <v>234</v>
      </c>
      <c r="H65" s="9" t="s">
        <v>309</v>
      </c>
      <c r="I65" s="9" t="n">
        <v>2</v>
      </c>
      <c r="J65" s="9" t="s">
        <v>293</v>
      </c>
      <c r="K65" s="9" t="s">
        <v>116</v>
      </c>
    </row>
    <row r="66" customFormat="false" ht="15" hidden="false" customHeight="false" outlineLevel="0" collapsed="false">
      <c r="A66" s="9" t="s">
        <v>319</v>
      </c>
      <c r="B66" s="9" t="n">
        <v>9000456</v>
      </c>
      <c r="C66" s="9" t="s">
        <v>41</v>
      </c>
      <c r="D66" s="9" t="s">
        <v>132</v>
      </c>
      <c r="E66" s="9" t="s">
        <v>133</v>
      </c>
      <c r="F66" s="9" t="s">
        <v>320</v>
      </c>
      <c r="G66" s="9" t="s">
        <v>234</v>
      </c>
      <c r="H66" s="9" t="s">
        <v>309</v>
      </c>
      <c r="I66" s="9" t="n">
        <v>2</v>
      </c>
      <c r="J66" s="9" t="s">
        <v>293</v>
      </c>
      <c r="K66" s="9" t="s">
        <v>116</v>
      </c>
    </row>
    <row r="67" customFormat="false" ht="15" hidden="false" customHeight="false" outlineLevel="0" collapsed="false">
      <c r="A67" s="9" t="s">
        <v>321</v>
      </c>
      <c r="B67" s="9" t="n">
        <v>9000458</v>
      </c>
      <c r="C67" s="9" t="s">
        <v>41</v>
      </c>
      <c r="D67" s="9" t="s">
        <v>132</v>
      </c>
      <c r="E67" s="9" t="s">
        <v>133</v>
      </c>
      <c r="F67" s="9" t="s">
        <v>322</v>
      </c>
      <c r="G67" s="9" t="s">
        <v>240</v>
      </c>
      <c r="H67" s="9" t="s">
        <v>323</v>
      </c>
      <c r="I67" s="9" t="n">
        <v>3</v>
      </c>
      <c r="J67" s="9" t="s">
        <v>293</v>
      </c>
      <c r="K67" s="9" t="s">
        <v>116</v>
      </c>
    </row>
    <row r="68" customFormat="false" ht="15" hidden="false" customHeight="false" outlineLevel="0" collapsed="false">
      <c r="A68" s="9" t="s">
        <v>324</v>
      </c>
      <c r="B68" s="9" t="n">
        <v>9000459</v>
      </c>
      <c r="C68" s="9" t="s">
        <v>41</v>
      </c>
      <c r="D68" s="9" t="s">
        <v>132</v>
      </c>
      <c r="E68" s="9" t="s">
        <v>133</v>
      </c>
      <c r="F68" s="9" t="s">
        <v>264</v>
      </c>
      <c r="G68" s="9" t="s">
        <v>240</v>
      </c>
      <c r="H68" s="9" t="s">
        <v>323</v>
      </c>
      <c r="I68" s="9" t="n">
        <v>3</v>
      </c>
      <c r="J68" s="9" t="s">
        <v>293</v>
      </c>
      <c r="K68" s="9" t="s">
        <v>116</v>
      </c>
    </row>
    <row r="69" customFormat="false" ht="15" hidden="false" customHeight="false" outlineLevel="0" collapsed="false">
      <c r="A69" s="9" t="s">
        <v>325</v>
      </c>
      <c r="B69" s="9" t="n">
        <v>9000461</v>
      </c>
      <c r="C69" s="9" t="s">
        <v>41</v>
      </c>
      <c r="D69" s="9" t="s">
        <v>132</v>
      </c>
      <c r="E69" s="9" t="s">
        <v>133</v>
      </c>
      <c r="F69" s="9" t="s">
        <v>208</v>
      </c>
      <c r="G69" s="9" t="s">
        <v>240</v>
      </c>
      <c r="H69" s="9" t="s">
        <v>323</v>
      </c>
      <c r="I69" s="9" t="n">
        <v>3</v>
      </c>
      <c r="J69" s="9" t="s">
        <v>293</v>
      </c>
      <c r="K69" s="9" t="s">
        <v>116</v>
      </c>
    </row>
    <row r="70" customFormat="false" ht="15" hidden="false" customHeight="false" outlineLevel="0" collapsed="false">
      <c r="A70" s="9" t="s">
        <v>326</v>
      </c>
      <c r="B70" s="9" t="n">
        <v>9000462</v>
      </c>
      <c r="C70" s="9" t="s">
        <v>41</v>
      </c>
      <c r="D70" s="9" t="s">
        <v>132</v>
      </c>
      <c r="E70" s="9" t="s">
        <v>133</v>
      </c>
      <c r="F70" s="9" t="s">
        <v>327</v>
      </c>
      <c r="G70" s="9" t="s">
        <v>240</v>
      </c>
      <c r="H70" s="9" t="s">
        <v>323</v>
      </c>
      <c r="I70" s="9" t="n">
        <v>3</v>
      </c>
      <c r="J70" s="9" t="s">
        <v>293</v>
      </c>
      <c r="K70" s="9" t="s">
        <v>116</v>
      </c>
    </row>
    <row r="71" customFormat="false" ht="15" hidden="false" customHeight="false" outlineLevel="0" collapsed="false">
      <c r="A71" s="9" t="s">
        <v>328</v>
      </c>
      <c r="B71" s="9" t="n">
        <v>9000463</v>
      </c>
      <c r="C71" s="9" t="s">
        <v>41</v>
      </c>
      <c r="D71" s="9" t="s">
        <v>132</v>
      </c>
      <c r="E71" s="9" t="s">
        <v>133</v>
      </c>
      <c r="F71" s="9" t="s">
        <v>329</v>
      </c>
      <c r="G71" s="9" t="s">
        <v>330</v>
      </c>
      <c r="H71" s="9" t="s">
        <v>331</v>
      </c>
      <c r="I71" s="9" t="n">
        <v>4</v>
      </c>
      <c r="J71" s="9" t="s">
        <v>293</v>
      </c>
      <c r="K71" s="9" t="s">
        <v>116</v>
      </c>
    </row>
    <row r="72" customFormat="false" ht="15" hidden="false" customHeight="false" outlineLevel="0" collapsed="false">
      <c r="A72" s="9" t="s">
        <v>332</v>
      </c>
      <c r="B72" s="9" t="n">
        <v>9000465</v>
      </c>
      <c r="C72" s="9" t="s">
        <v>41</v>
      </c>
      <c r="D72" s="9" t="s">
        <v>132</v>
      </c>
      <c r="E72" s="9" t="s">
        <v>133</v>
      </c>
      <c r="F72" s="9" t="s">
        <v>333</v>
      </c>
      <c r="G72" s="9" t="s">
        <v>330</v>
      </c>
      <c r="H72" s="9" t="s">
        <v>331</v>
      </c>
      <c r="I72" s="9" t="n">
        <v>4</v>
      </c>
      <c r="J72" s="9" t="s">
        <v>293</v>
      </c>
      <c r="K72" s="9" t="s">
        <v>116</v>
      </c>
    </row>
    <row r="73" customFormat="false" ht="15" hidden="false" customHeight="false" outlineLevel="0" collapsed="false">
      <c r="A73" s="9" t="s">
        <v>334</v>
      </c>
      <c r="B73" s="9" t="n">
        <v>9000466</v>
      </c>
      <c r="C73" s="9" t="s">
        <v>41</v>
      </c>
      <c r="D73" s="9" t="s">
        <v>132</v>
      </c>
      <c r="E73" s="9" t="s">
        <v>133</v>
      </c>
      <c r="F73" s="9" t="s">
        <v>335</v>
      </c>
      <c r="G73" s="9" t="s">
        <v>330</v>
      </c>
      <c r="H73" s="9" t="s">
        <v>331</v>
      </c>
      <c r="I73" s="9" t="n">
        <v>4</v>
      </c>
      <c r="J73" s="9" t="s">
        <v>293</v>
      </c>
      <c r="K73" s="9" t="s">
        <v>116</v>
      </c>
    </row>
    <row r="74" customFormat="false" ht="15" hidden="false" customHeight="false" outlineLevel="0" collapsed="false">
      <c r="A74" s="9" t="s">
        <v>336</v>
      </c>
      <c r="B74" s="9" t="n">
        <v>9000468</v>
      </c>
      <c r="C74" s="9" t="s">
        <v>41</v>
      </c>
      <c r="D74" s="9" t="s">
        <v>132</v>
      </c>
      <c r="E74" s="9" t="s">
        <v>133</v>
      </c>
      <c r="F74" s="9" t="s">
        <v>289</v>
      </c>
      <c r="G74" s="9" t="s">
        <v>330</v>
      </c>
      <c r="H74" s="9" t="s">
        <v>331</v>
      </c>
      <c r="I74" s="9" t="n">
        <v>4</v>
      </c>
      <c r="J74" s="9" t="s">
        <v>293</v>
      </c>
      <c r="K74" s="9" t="s">
        <v>116</v>
      </c>
    </row>
    <row r="75" customFormat="false" ht="15" hidden="false" customHeight="false" outlineLevel="0" collapsed="false">
      <c r="A75" s="9" t="s">
        <v>337</v>
      </c>
      <c r="B75" s="9" t="n">
        <v>9000471</v>
      </c>
      <c r="C75" s="9" t="s">
        <v>41</v>
      </c>
      <c r="D75" s="9" t="s">
        <v>132</v>
      </c>
      <c r="E75" s="9" t="s">
        <v>133</v>
      </c>
      <c r="F75" s="9" t="s">
        <v>268</v>
      </c>
      <c r="G75" s="9" t="s">
        <v>338</v>
      </c>
      <c r="H75" s="9" t="s">
        <v>339</v>
      </c>
      <c r="I75" s="9" t="n">
        <v>5</v>
      </c>
      <c r="J75" s="9" t="s">
        <v>293</v>
      </c>
      <c r="K75" s="9" t="s">
        <v>116</v>
      </c>
    </row>
    <row r="76" customFormat="false" ht="15" hidden="false" customHeight="false" outlineLevel="0" collapsed="false">
      <c r="A76" s="9" t="s">
        <v>340</v>
      </c>
      <c r="B76" s="9" t="n">
        <v>9000473</v>
      </c>
      <c r="C76" s="9" t="s">
        <v>41</v>
      </c>
      <c r="D76" s="9" t="s">
        <v>132</v>
      </c>
      <c r="E76" s="9" t="s">
        <v>133</v>
      </c>
      <c r="F76" s="9" t="s">
        <v>341</v>
      </c>
      <c r="G76" s="9" t="s">
        <v>338</v>
      </c>
      <c r="H76" s="9" t="s">
        <v>339</v>
      </c>
      <c r="I76" s="9" t="n">
        <v>5</v>
      </c>
      <c r="J76" s="9" t="s">
        <v>293</v>
      </c>
      <c r="K76" s="9" t="s">
        <v>116</v>
      </c>
    </row>
    <row r="77" customFormat="false" ht="15" hidden="false" customHeight="false" outlineLevel="0" collapsed="false">
      <c r="A77" s="9" t="s">
        <v>342</v>
      </c>
      <c r="B77" s="9" t="n">
        <v>9000475</v>
      </c>
      <c r="C77" s="9" t="s">
        <v>41</v>
      </c>
      <c r="D77" s="9" t="s">
        <v>132</v>
      </c>
      <c r="E77" s="9" t="s">
        <v>133</v>
      </c>
      <c r="F77" s="9" t="s">
        <v>343</v>
      </c>
      <c r="G77" s="9" t="s">
        <v>338</v>
      </c>
      <c r="H77" s="9" t="s">
        <v>339</v>
      </c>
      <c r="I77" s="9" t="n">
        <v>5</v>
      </c>
      <c r="J77" s="9" t="s">
        <v>293</v>
      </c>
      <c r="K77" s="9" t="s">
        <v>116</v>
      </c>
    </row>
    <row r="78" customFormat="false" ht="15" hidden="false" customHeight="false" outlineLevel="0" collapsed="false">
      <c r="A78" s="9" t="s">
        <v>344</v>
      </c>
      <c r="B78" s="9" t="n">
        <v>9000476</v>
      </c>
      <c r="C78" s="9" t="s">
        <v>41</v>
      </c>
      <c r="D78" s="9" t="s">
        <v>132</v>
      </c>
      <c r="E78" s="9" t="s">
        <v>133</v>
      </c>
      <c r="F78" s="9" t="s">
        <v>276</v>
      </c>
      <c r="G78" s="9" t="s">
        <v>338</v>
      </c>
      <c r="H78" s="9" t="s">
        <v>339</v>
      </c>
      <c r="I78" s="9" t="n">
        <v>5</v>
      </c>
      <c r="J78" s="9" t="s">
        <v>293</v>
      </c>
      <c r="K78" s="9" t="s">
        <v>116</v>
      </c>
    </row>
    <row r="79" customFormat="false" ht="15" hidden="false" customHeight="false" outlineLevel="0" collapsed="false">
      <c r="A79" s="9" t="s">
        <v>345</v>
      </c>
      <c r="B79" s="9" t="n">
        <v>9000480</v>
      </c>
      <c r="C79" s="9" t="s">
        <v>41</v>
      </c>
      <c r="D79" s="9" t="s">
        <v>132</v>
      </c>
      <c r="E79" s="9" t="s">
        <v>133</v>
      </c>
      <c r="F79" s="9" t="s">
        <v>346</v>
      </c>
      <c r="G79" s="9" t="s">
        <v>347</v>
      </c>
      <c r="H79" s="9" t="s">
        <v>348</v>
      </c>
      <c r="I79" s="9" t="n">
        <v>8</v>
      </c>
      <c r="J79" s="9" t="s">
        <v>293</v>
      </c>
      <c r="K79" s="9" t="s">
        <v>116</v>
      </c>
    </row>
    <row r="80" customFormat="false" ht="15" hidden="false" customHeight="false" outlineLevel="0" collapsed="false">
      <c r="A80" s="9" t="s">
        <v>349</v>
      </c>
      <c r="B80" s="9" t="n">
        <v>9000482</v>
      </c>
      <c r="C80" s="9" t="s">
        <v>41</v>
      </c>
      <c r="D80" s="9" t="s">
        <v>132</v>
      </c>
      <c r="E80" s="9" t="s">
        <v>133</v>
      </c>
      <c r="F80" s="9" t="s">
        <v>151</v>
      </c>
      <c r="G80" s="9" t="s">
        <v>347</v>
      </c>
      <c r="H80" s="9" t="s">
        <v>348</v>
      </c>
      <c r="I80" s="9" t="n">
        <v>8</v>
      </c>
      <c r="J80" s="9" t="s">
        <v>293</v>
      </c>
      <c r="K80" s="9" t="s">
        <v>116</v>
      </c>
    </row>
    <row r="81" customFormat="false" ht="15" hidden="false" customHeight="false" outlineLevel="0" collapsed="false">
      <c r="A81" s="9" t="s">
        <v>350</v>
      </c>
      <c r="B81" s="9" t="n">
        <v>9000486</v>
      </c>
      <c r="C81" s="9" t="s">
        <v>41</v>
      </c>
      <c r="D81" s="9" t="s">
        <v>132</v>
      </c>
      <c r="E81" s="9" t="s">
        <v>133</v>
      </c>
      <c r="F81" s="9" t="s">
        <v>202</v>
      </c>
      <c r="G81" s="9" t="s">
        <v>347</v>
      </c>
      <c r="H81" s="9" t="s">
        <v>348</v>
      </c>
      <c r="I81" s="9" t="n">
        <v>8</v>
      </c>
      <c r="J81" s="9" t="s">
        <v>293</v>
      </c>
      <c r="K81" s="9" t="s">
        <v>116</v>
      </c>
    </row>
    <row r="82" customFormat="false" ht="15" hidden="false" customHeight="false" outlineLevel="0" collapsed="false">
      <c r="A82" s="9" t="s">
        <v>351</v>
      </c>
      <c r="B82" s="9" t="n">
        <v>9000488</v>
      </c>
      <c r="C82" s="9" t="s">
        <v>41</v>
      </c>
      <c r="D82" s="9" t="s">
        <v>132</v>
      </c>
      <c r="E82" s="9" t="s">
        <v>133</v>
      </c>
      <c r="F82" s="9" t="s">
        <v>352</v>
      </c>
      <c r="G82" s="9" t="s">
        <v>347</v>
      </c>
      <c r="H82" s="9" t="s">
        <v>348</v>
      </c>
      <c r="I82" s="9" t="n">
        <v>8</v>
      </c>
      <c r="J82" s="9" t="s">
        <v>293</v>
      </c>
      <c r="K82" s="9" t="s">
        <v>116</v>
      </c>
    </row>
    <row r="83" customFormat="false" ht="15" hidden="false" customHeight="false" outlineLevel="0" collapsed="false">
      <c r="A83" s="9" t="s">
        <v>353</v>
      </c>
      <c r="B83" s="9" t="n">
        <v>9000489</v>
      </c>
      <c r="C83" s="9" t="s">
        <v>41</v>
      </c>
      <c r="D83" s="9" t="s">
        <v>132</v>
      </c>
      <c r="E83" s="9" t="s">
        <v>133</v>
      </c>
      <c r="F83" s="9" t="s">
        <v>254</v>
      </c>
      <c r="G83" s="9" t="s">
        <v>249</v>
      </c>
      <c r="H83" s="9" t="s">
        <v>354</v>
      </c>
      <c r="I83" s="9" t="n">
        <v>9</v>
      </c>
      <c r="J83" s="9" t="s">
        <v>293</v>
      </c>
      <c r="K83" s="9" t="s">
        <v>116</v>
      </c>
    </row>
    <row r="84" customFormat="false" ht="15" hidden="false" customHeight="false" outlineLevel="0" collapsed="false">
      <c r="A84" s="9" t="s">
        <v>355</v>
      </c>
      <c r="B84" s="9" t="n">
        <v>9000492</v>
      </c>
      <c r="C84" s="9" t="s">
        <v>41</v>
      </c>
      <c r="D84" s="9" t="s">
        <v>132</v>
      </c>
      <c r="E84" s="9" t="s">
        <v>133</v>
      </c>
      <c r="F84" s="9" t="s">
        <v>356</v>
      </c>
      <c r="G84" s="9" t="s">
        <v>249</v>
      </c>
      <c r="H84" s="9" t="s">
        <v>354</v>
      </c>
      <c r="I84" s="9" t="n">
        <v>9</v>
      </c>
      <c r="J84" s="9" t="s">
        <v>293</v>
      </c>
      <c r="K84" s="9" t="s">
        <v>116</v>
      </c>
    </row>
    <row r="85" customFormat="false" ht="15" hidden="false" customHeight="false" outlineLevel="0" collapsed="false">
      <c r="A85" s="9" t="s">
        <v>357</v>
      </c>
      <c r="B85" s="9" t="n">
        <v>9000493</v>
      </c>
      <c r="C85" s="9" t="s">
        <v>41</v>
      </c>
      <c r="D85" s="9" t="s">
        <v>132</v>
      </c>
      <c r="E85" s="9" t="s">
        <v>133</v>
      </c>
      <c r="F85" s="9" t="s">
        <v>358</v>
      </c>
      <c r="G85" s="9" t="s">
        <v>249</v>
      </c>
      <c r="H85" s="9" t="s">
        <v>354</v>
      </c>
      <c r="I85" s="9" t="n">
        <v>9</v>
      </c>
      <c r="J85" s="9" t="s">
        <v>293</v>
      </c>
      <c r="K85" s="9" t="s">
        <v>116</v>
      </c>
    </row>
    <row r="86" customFormat="false" ht="15" hidden="false" customHeight="false" outlineLevel="0" collapsed="false">
      <c r="A86" s="9" t="s">
        <v>359</v>
      </c>
      <c r="B86" s="9" t="n">
        <v>9000494</v>
      </c>
      <c r="C86" s="9" t="s">
        <v>41</v>
      </c>
      <c r="D86" s="9" t="s">
        <v>132</v>
      </c>
      <c r="E86" s="9" t="s">
        <v>133</v>
      </c>
      <c r="F86" s="9" t="s">
        <v>360</v>
      </c>
      <c r="G86" s="9" t="s">
        <v>249</v>
      </c>
      <c r="H86" s="9" t="s">
        <v>354</v>
      </c>
      <c r="I86" s="9" t="n">
        <v>9</v>
      </c>
      <c r="J86" s="9" t="s">
        <v>293</v>
      </c>
      <c r="K86" s="9" t="s">
        <v>116</v>
      </c>
    </row>
    <row r="87" customFormat="false" ht="15" hidden="false" customHeight="false" outlineLevel="0" collapsed="false">
      <c r="A87" s="9" t="s">
        <v>361</v>
      </c>
      <c r="B87" s="9" t="n">
        <v>9000495</v>
      </c>
      <c r="C87" s="9" t="s">
        <v>41</v>
      </c>
      <c r="D87" s="9" t="s">
        <v>132</v>
      </c>
      <c r="E87" s="9" t="s">
        <v>133</v>
      </c>
      <c r="F87" s="9" t="s">
        <v>362</v>
      </c>
      <c r="G87" s="9" t="s">
        <v>249</v>
      </c>
      <c r="H87" s="9" t="s">
        <v>354</v>
      </c>
      <c r="I87" s="9" t="n">
        <v>9</v>
      </c>
      <c r="J87" s="9" t="s">
        <v>293</v>
      </c>
      <c r="K87" s="9" t="s">
        <v>116</v>
      </c>
    </row>
    <row r="88" customFormat="false" ht="15" hidden="false" customHeight="false" outlineLevel="0" collapsed="false">
      <c r="A88" s="9" t="s">
        <v>363</v>
      </c>
      <c r="B88" s="9" t="n">
        <v>9000496</v>
      </c>
      <c r="C88" s="9" t="s">
        <v>41</v>
      </c>
      <c r="D88" s="9" t="s">
        <v>132</v>
      </c>
      <c r="E88" s="9" t="s">
        <v>133</v>
      </c>
      <c r="F88" s="9" t="s">
        <v>220</v>
      </c>
      <c r="G88" s="9" t="s">
        <v>249</v>
      </c>
      <c r="H88" s="9" t="s">
        <v>354</v>
      </c>
      <c r="I88" s="9" t="n">
        <v>9</v>
      </c>
      <c r="J88" s="9" t="s">
        <v>293</v>
      </c>
      <c r="K88" s="9" t="s">
        <v>116</v>
      </c>
    </row>
    <row r="89" customFormat="false" ht="15" hidden="false" customHeight="false" outlineLevel="0" collapsed="false">
      <c r="A89" s="9" t="s">
        <v>364</v>
      </c>
      <c r="B89" s="9" t="n">
        <v>9000497</v>
      </c>
      <c r="C89" s="9" t="s">
        <v>41</v>
      </c>
      <c r="D89" s="9" t="s">
        <v>132</v>
      </c>
      <c r="E89" s="9" t="s">
        <v>133</v>
      </c>
      <c r="F89" s="9" t="s">
        <v>327</v>
      </c>
      <c r="G89" s="9" t="s">
        <v>252</v>
      </c>
      <c r="H89" s="9" t="s">
        <v>365</v>
      </c>
      <c r="I89" s="9" t="n">
        <v>10</v>
      </c>
      <c r="J89" s="9" t="s">
        <v>293</v>
      </c>
      <c r="K89" s="9" t="s">
        <v>116</v>
      </c>
    </row>
    <row r="90" customFormat="false" ht="15" hidden="false" customHeight="false" outlineLevel="0" collapsed="false">
      <c r="A90" s="9" t="s">
        <v>366</v>
      </c>
      <c r="B90" s="9" t="n">
        <v>9000498</v>
      </c>
      <c r="C90" s="9" t="s">
        <v>41</v>
      </c>
      <c r="D90" s="9" t="s">
        <v>132</v>
      </c>
      <c r="E90" s="9" t="s">
        <v>133</v>
      </c>
      <c r="F90" s="9" t="s">
        <v>367</v>
      </c>
      <c r="G90" s="9" t="s">
        <v>252</v>
      </c>
      <c r="H90" s="9" t="s">
        <v>365</v>
      </c>
      <c r="I90" s="9" t="n">
        <v>10</v>
      </c>
      <c r="J90" s="9" t="s">
        <v>293</v>
      </c>
      <c r="K90" s="9" t="s">
        <v>116</v>
      </c>
    </row>
    <row r="91" customFormat="false" ht="15" hidden="false" customHeight="false" outlineLevel="0" collapsed="false">
      <c r="A91" s="9" t="s">
        <v>368</v>
      </c>
      <c r="B91" s="9" t="n">
        <v>9000499</v>
      </c>
      <c r="C91" s="9" t="s">
        <v>41</v>
      </c>
      <c r="D91" s="9" t="s">
        <v>132</v>
      </c>
      <c r="E91" s="9" t="s">
        <v>133</v>
      </c>
      <c r="F91" s="9" t="s">
        <v>369</v>
      </c>
      <c r="G91" s="9" t="s">
        <v>252</v>
      </c>
      <c r="H91" s="9" t="s">
        <v>365</v>
      </c>
      <c r="I91" s="9" t="n">
        <v>10</v>
      </c>
      <c r="J91" s="9" t="s">
        <v>293</v>
      </c>
      <c r="K91" s="9" t="s">
        <v>116</v>
      </c>
    </row>
    <row r="92" customFormat="false" ht="15" hidden="false" customHeight="false" outlineLevel="0" collapsed="false">
      <c r="A92" s="9" t="s">
        <v>370</v>
      </c>
      <c r="B92" s="9" t="n">
        <v>9000500</v>
      </c>
      <c r="C92" s="9" t="s">
        <v>41</v>
      </c>
      <c r="D92" s="9" t="s">
        <v>132</v>
      </c>
      <c r="E92" s="9" t="s">
        <v>133</v>
      </c>
      <c r="F92" s="9" t="s">
        <v>371</v>
      </c>
      <c r="G92" s="9" t="s">
        <v>252</v>
      </c>
      <c r="H92" s="9" t="s">
        <v>365</v>
      </c>
      <c r="I92" s="9" t="n">
        <v>10</v>
      </c>
      <c r="J92" s="9" t="s">
        <v>293</v>
      </c>
      <c r="K92" s="9" t="s">
        <v>116</v>
      </c>
    </row>
    <row r="93" customFormat="false" ht="15" hidden="false" customHeight="false" outlineLevel="0" collapsed="false">
      <c r="A93" s="9" t="s">
        <v>372</v>
      </c>
      <c r="B93" s="9" t="n">
        <v>9000501</v>
      </c>
      <c r="C93" s="9" t="s">
        <v>41</v>
      </c>
      <c r="D93" s="9" t="s">
        <v>132</v>
      </c>
      <c r="E93" s="9" t="s">
        <v>133</v>
      </c>
      <c r="F93" s="9" t="s">
        <v>322</v>
      </c>
      <c r="G93" s="9" t="s">
        <v>252</v>
      </c>
      <c r="H93" s="9" t="s">
        <v>365</v>
      </c>
      <c r="I93" s="9" t="n">
        <v>10</v>
      </c>
      <c r="J93" s="9" t="s">
        <v>293</v>
      </c>
      <c r="K93" s="9" t="s">
        <v>116</v>
      </c>
    </row>
    <row r="94" customFormat="false" ht="15" hidden="false" customHeight="false" outlineLevel="0" collapsed="false">
      <c r="A94" s="9" t="s">
        <v>373</v>
      </c>
      <c r="B94" s="9" t="n">
        <v>9000502</v>
      </c>
      <c r="C94" s="9" t="s">
        <v>41</v>
      </c>
      <c r="D94" s="9" t="s">
        <v>132</v>
      </c>
      <c r="E94" s="9" t="s">
        <v>133</v>
      </c>
      <c r="F94" s="9" t="s">
        <v>155</v>
      </c>
      <c r="G94" s="9" t="s">
        <v>252</v>
      </c>
      <c r="H94" s="9" t="s">
        <v>365</v>
      </c>
      <c r="I94" s="9" t="n">
        <v>10</v>
      </c>
      <c r="J94" s="9" t="s">
        <v>293</v>
      </c>
      <c r="K94" s="9" t="s">
        <v>116</v>
      </c>
    </row>
    <row r="95" customFormat="false" ht="15" hidden="false" customHeight="false" outlineLevel="0" collapsed="false">
      <c r="A95" s="9" t="s">
        <v>374</v>
      </c>
      <c r="B95" s="9" t="n">
        <v>9000503</v>
      </c>
      <c r="C95" s="9" t="s">
        <v>41</v>
      </c>
      <c r="D95" s="9" t="s">
        <v>132</v>
      </c>
      <c r="E95" s="9" t="s">
        <v>133</v>
      </c>
      <c r="F95" s="9" t="s">
        <v>375</v>
      </c>
      <c r="G95" s="9" t="s">
        <v>376</v>
      </c>
      <c r="H95" s="9" t="s">
        <v>377</v>
      </c>
      <c r="I95" s="9" t="n">
        <v>11</v>
      </c>
      <c r="J95" s="9" t="s">
        <v>293</v>
      </c>
      <c r="K95" s="9" t="s">
        <v>116</v>
      </c>
    </row>
    <row r="96" customFormat="false" ht="15" hidden="false" customHeight="false" outlineLevel="0" collapsed="false">
      <c r="A96" s="9" t="s">
        <v>378</v>
      </c>
      <c r="B96" s="9" t="n">
        <v>9000504</v>
      </c>
      <c r="C96" s="9" t="s">
        <v>41</v>
      </c>
      <c r="D96" s="9" t="s">
        <v>132</v>
      </c>
      <c r="E96" s="9" t="s">
        <v>133</v>
      </c>
      <c r="F96" s="9" t="s">
        <v>155</v>
      </c>
      <c r="G96" s="9" t="s">
        <v>376</v>
      </c>
      <c r="H96" s="9" t="s">
        <v>377</v>
      </c>
      <c r="I96" s="9" t="n">
        <v>11</v>
      </c>
      <c r="J96" s="9" t="s">
        <v>293</v>
      </c>
      <c r="K96" s="9" t="s">
        <v>116</v>
      </c>
    </row>
    <row r="97" customFormat="false" ht="15" hidden="false" customHeight="false" outlineLevel="0" collapsed="false">
      <c r="A97" s="9" t="s">
        <v>379</v>
      </c>
      <c r="B97" s="9" t="n">
        <v>9000505</v>
      </c>
      <c r="C97" s="9" t="s">
        <v>41</v>
      </c>
      <c r="D97" s="9" t="s">
        <v>132</v>
      </c>
      <c r="E97" s="9" t="s">
        <v>133</v>
      </c>
      <c r="F97" s="9" t="s">
        <v>380</v>
      </c>
      <c r="G97" s="9" t="s">
        <v>376</v>
      </c>
      <c r="H97" s="9" t="s">
        <v>377</v>
      </c>
      <c r="I97" s="9" t="n">
        <v>11</v>
      </c>
      <c r="J97" s="9" t="s">
        <v>293</v>
      </c>
      <c r="K97" s="9" t="s">
        <v>116</v>
      </c>
    </row>
    <row r="98" customFormat="false" ht="15" hidden="false" customHeight="false" outlineLevel="0" collapsed="false">
      <c r="A98" s="9" t="s">
        <v>381</v>
      </c>
      <c r="B98" s="9" t="n">
        <v>9000507</v>
      </c>
      <c r="C98" s="9" t="s">
        <v>41</v>
      </c>
      <c r="D98" s="9" t="s">
        <v>132</v>
      </c>
      <c r="E98" s="9" t="s">
        <v>133</v>
      </c>
      <c r="F98" s="9" t="s">
        <v>382</v>
      </c>
      <c r="G98" s="9" t="s">
        <v>376</v>
      </c>
      <c r="H98" s="9" t="s">
        <v>377</v>
      </c>
      <c r="I98" s="9" t="n">
        <v>11</v>
      </c>
      <c r="J98" s="9" t="s">
        <v>293</v>
      </c>
      <c r="K98" s="9" t="s">
        <v>116</v>
      </c>
    </row>
    <row r="99" customFormat="false" ht="15" hidden="false" customHeight="false" outlineLevel="0" collapsed="false">
      <c r="A99" s="9" t="s">
        <v>383</v>
      </c>
      <c r="B99" s="9" t="n">
        <v>9000508</v>
      </c>
      <c r="C99" s="9" t="s">
        <v>41</v>
      </c>
      <c r="D99" s="9" t="s">
        <v>132</v>
      </c>
      <c r="E99" s="9" t="s">
        <v>133</v>
      </c>
      <c r="F99" s="9" t="s">
        <v>384</v>
      </c>
      <c r="G99" s="9" t="s">
        <v>376</v>
      </c>
      <c r="H99" s="9" t="s">
        <v>377</v>
      </c>
      <c r="I99" s="9" t="n">
        <v>11</v>
      </c>
      <c r="J99" s="9" t="s">
        <v>293</v>
      </c>
      <c r="K99" s="9" t="s">
        <v>116</v>
      </c>
    </row>
    <row r="100" customFormat="false" ht="15" hidden="false" customHeight="false" outlineLevel="0" collapsed="false">
      <c r="A100" s="9" t="s">
        <v>385</v>
      </c>
      <c r="B100" s="9" t="n">
        <v>9000509</v>
      </c>
      <c r="C100" s="9" t="s">
        <v>41</v>
      </c>
      <c r="D100" s="9" t="s">
        <v>132</v>
      </c>
      <c r="E100" s="9" t="s">
        <v>133</v>
      </c>
      <c r="F100" s="9" t="s">
        <v>386</v>
      </c>
      <c r="G100" s="9" t="s">
        <v>376</v>
      </c>
      <c r="H100" s="9" t="s">
        <v>377</v>
      </c>
      <c r="I100" s="9" t="n">
        <v>11</v>
      </c>
      <c r="J100" s="9" t="s">
        <v>293</v>
      </c>
      <c r="K100" s="9" t="s">
        <v>116</v>
      </c>
    </row>
    <row r="101" customFormat="false" ht="15" hidden="false" customHeight="false" outlineLevel="0" collapsed="false">
      <c r="A101" s="9" t="s">
        <v>387</v>
      </c>
      <c r="B101" s="9" t="n">
        <v>9000510</v>
      </c>
      <c r="C101" s="9" t="s">
        <v>41</v>
      </c>
      <c r="D101" s="9" t="s">
        <v>132</v>
      </c>
      <c r="E101" s="9" t="s">
        <v>133</v>
      </c>
      <c r="F101" s="9" t="s">
        <v>388</v>
      </c>
      <c r="G101" s="9" t="s">
        <v>389</v>
      </c>
      <c r="H101" s="9" t="s">
        <v>390</v>
      </c>
      <c r="I101" s="9" t="n">
        <v>12</v>
      </c>
      <c r="J101" s="9" t="s">
        <v>293</v>
      </c>
      <c r="K101" s="9" t="s">
        <v>116</v>
      </c>
    </row>
    <row r="102" customFormat="false" ht="15" hidden="false" customHeight="false" outlineLevel="0" collapsed="false">
      <c r="A102" s="9" t="s">
        <v>391</v>
      </c>
      <c r="B102" s="9" t="n">
        <v>9000511</v>
      </c>
      <c r="C102" s="9" t="s">
        <v>41</v>
      </c>
      <c r="D102" s="9" t="s">
        <v>132</v>
      </c>
      <c r="E102" s="9" t="s">
        <v>133</v>
      </c>
      <c r="F102" s="9" t="s">
        <v>298</v>
      </c>
      <c r="G102" s="9" t="s">
        <v>389</v>
      </c>
      <c r="H102" s="9" t="s">
        <v>390</v>
      </c>
      <c r="I102" s="9" t="n">
        <v>12</v>
      </c>
      <c r="J102" s="9" t="s">
        <v>293</v>
      </c>
      <c r="K102" s="9" t="s">
        <v>116</v>
      </c>
    </row>
    <row r="103" customFormat="false" ht="15" hidden="false" customHeight="false" outlineLevel="0" collapsed="false">
      <c r="A103" s="9" t="s">
        <v>392</v>
      </c>
      <c r="B103" s="9" t="n">
        <v>9000512</v>
      </c>
      <c r="C103" s="9" t="s">
        <v>41</v>
      </c>
      <c r="D103" s="9" t="s">
        <v>132</v>
      </c>
      <c r="E103" s="9" t="s">
        <v>133</v>
      </c>
      <c r="F103" s="9" t="s">
        <v>220</v>
      </c>
      <c r="G103" s="9" t="s">
        <v>389</v>
      </c>
      <c r="H103" s="9" t="s">
        <v>390</v>
      </c>
      <c r="I103" s="9" t="n">
        <v>12</v>
      </c>
      <c r="J103" s="9" t="s">
        <v>293</v>
      </c>
      <c r="K103" s="9" t="s">
        <v>116</v>
      </c>
    </row>
    <row r="104" customFormat="false" ht="15" hidden="false" customHeight="false" outlineLevel="0" collapsed="false">
      <c r="A104" s="9" t="s">
        <v>393</v>
      </c>
      <c r="B104" s="9" t="n">
        <v>9000513</v>
      </c>
      <c r="C104" s="9" t="s">
        <v>41</v>
      </c>
      <c r="D104" s="9" t="s">
        <v>132</v>
      </c>
      <c r="E104" s="9" t="s">
        <v>133</v>
      </c>
      <c r="F104" s="9" t="s">
        <v>394</v>
      </c>
      <c r="G104" s="9" t="s">
        <v>389</v>
      </c>
      <c r="H104" s="9" t="s">
        <v>390</v>
      </c>
      <c r="I104" s="9" t="n">
        <v>12</v>
      </c>
      <c r="J104" s="9" t="s">
        <v>293</v>
      </c>
      <c r="K104" s="9" t="s">
        <v>116</v>
      </c>
    </row>
    <row r="105" customFormat="false" ht="15" hidden="false" customHeight="false" outlineLevel="0" collapsed="false">
      <c r="A105" s="9" t="s">
        <v>395</v>
      </c>
      <c r="B105" s="9" t="n">
        <v>9000514</v>
      </c>
      <c r="C105" s="9" t="s">
        <v>41</v>
      </c>
      <c r="D105" s="9" t="s">
        <v>132</v>
      </c>
      <c r="E105" s="9" t="s">
        <v>133</v>
      </c>
      <c r="F105" s="9" t="s">
        <v>396</v>
      </c>
      <c r="G105" s="9" t="s">
        <v>389</v>
      </c>
      <c r="H105" s="9" t="s">
        <v>390</v>
      </c>
      <c r="I105" s="9" t="n">
        <v>12</v>
      </c>
      <c r="J105" s="9" t="s">
        <v>293</v>
      </c>
      <c r="K105" s="9" t="s">
        <v>116</v>
      </c>
    </row>
    <row r="106" customFormat="false" ht="15" hidden="false" customHeight="false" outlineLevel="0" collapsed="false">
      <c r="A106" s="9" t="s">
        <v>397</v>
      </c>
      <c r="B106" s="9" t="n">
        <v>9000515</v>
      </c>
      <c r="C106" s="9" t="s">
        <v>41</v>
      </c>
      <c r="D106" s="9" t="s">
        <v>132</v>
      </c>
      <c r="E106" s="9" t="s">
        <v>133</v>
      </c>
      <c r="F106" s="9" t="s">
        <v>284</v>
      </c>
      <c r="G106" s="9" t="s">
        <v>389</v>
      </c>
      <c r="H106" s="9" t="s">
        <v>390</v>
      </c>
      <c r="I106" s="9" t="n">
        <v>12</v>
      </c>
      <c r="J106" s="9" t="s">
        <v>293</v>
      </c>
      <c r="K106" s="9" t="s">
        <v>116</v>
      </c>
    </row>
    <row r="107" customFormat="false" ht="15" hidden="false" customHeight="false" outlineLevel="0" collapsed="false">
      <c r="A107" s="9" t="s">
        <v>398</v>
      </c>
      <c r="B107" s="9" t="n">
        <v>9000516</v>
      </c>
      <c r="C107" s="9" t="s">
        <v>41</v>
      </c>
      <c r="D107" s="9" t="s">
        <v>132</v>
      </c>
      <c r="E107" s="9" t="s">
        <v>133</v>
      </c>
      <c r="F107" s="9" t="s">
        <v>296</v>
      </c>
      <c r="G107" s="9" t="s">
        <v>389</v>
      </c>
      <c r="H107" s="9" t="s">
        <v>390</v>
      </c>
      <c r="I107" s="9" t="n">
        <v>12</v>
      </c>
      <c r="J107" s="9" t="s">
        <v>293</v>
      </c>
      <c r="K107" s="9" t="s">
        <v>116</v>
      </c>
    </row>
    <row r="108" customFormat="false" ht="15" hidden="false" customHeight="false" outlineLevel="0" collapsed="false">
      <c r="A108" s="9" t="s">
        <v>399</v>
      </c>
      <c r="B108" s="9" t="n">
        <v>9000517</v>
      </c>
      <c r="C108" s="9" t="s">
        <v>41</v>
      </c>
      <c r="D108" s="9" t="s">
        <v>132</v>
      </c>
      <c r="E108" s="9" t="s">
        <v>133</v>
      </c>
      <c r="F108" s="9" t="s">
        <v>400</v>
      </c>
      <c r="G108" s="9" t="s">
        <v>389</v>
      </c>
      <c r="H108" s="9" t="s">
        <v>390</v>
      </c>
      <c r="I108" s="9" t="n">
        <v>12</v>
      </c>
      <c r="J108" s="9" t="s">
        <v>293</v>
      </c>
      <c r="K108" s="9" t="s">
        <v>116</v>
      </c>
    </row>
    <row r="109" customFormat="false" ht="15" hidden="false" customHeight="false" outlineLevel="0" collapsed="false">
      <c r="A109" s="9" t="s">
        <v>401</v>
      </c>
      <c r="B109" s="9" t="n">
        <v>9000518</v>
      </c>
      <c r="C109" s="9" t="s">
        <v>41</v>
      </c>
      <c r="D109" s="9" t="s">
        <v>132</v>
      </c>
      <c r="E109" s="9" t="s">
        <v>133</v>
      </c>
      <c r="F109" s="9" t="s">
        <v>402</v>
      </c>
      <c r="G109" s="9" t="s">
        <v>266</v>
      </c>
      <c r="H109" s="9" t="s">
        <v>403</v>
      </c>
      <c r="I109" s="9" t="n">
        <v>15</v>
      </c>
      <c r="J109" s="9" t="s">
        <v>293</v>
      </c>
      <c r="K109" s="9" t="s">
        <v>116</v>
      </c>
    </row>
    <row r="110" customFormat="false" ht="15" hidden="false" customHeight="false" outlineLevel="0" collapsed="false">
      <c r="A110" s="9" t="s">
        <v>404</v>
      </c>
      <c r="B110" s="9" t="n">
        <v>9000521</v>
      </c>
      <c r="C110" s="9" t="s">
        <v>41</v>
      </c>
      <c r="D110" s="9" t="s">
        <v>132</v>
      </c>
      <c r="E110" s="9" t="s">
        <v>133</v>
      </c>
      <c r="F110" s="9" t="s">
        <v>238</v>
      </c>
      <c r="G110" s="9" t="s">
        <v>266</v>
      </c>
      <c r="H110" s="9" t="s">
        <v>403</v>
      </c>
      <c r="I110" s="9" t="n">
        <v>15</v>
      </c>
      <c r="J110" s="9" t="s">
        <v>293</v>
      </c>
      <c r="K110" s="9" t="s">
        <v>116</v>
      </c>
    </row>
    <row r="111" customFormat="false" ht="15" hidden="false" customHeight="false" outlineLevel="0" collapsed="false">
      <c r="A111" s="9" t="s">
        <v>405</v>
      </c>
      <c r="B111" s="9" t="n">
        <v>9000522</v>
      </c>
      <c r="C111" s="9" t="s">
        <v>41</v>
      </c>
      <c r="D111" s="9" t="s">
        <v>132</v>
      </c>
      <c r="E111" s="9" t="s">
        <v>133</v>
      </c>
      <c r="F111" s="9" t="s">
        <v>406</v>
      </c>
      <c r="G111" s="9" t="s">
        <v>266</v>
      </c>
      <c r="H111" s="9" t="s">
        <v>403</v>
      </c>
      <c r="I111" s="9" t="n">
        <v>15</v>
      </c>
      <c r="J111" s="9" t="s">
        <v>293</v>
      </c>
      <c r="K111" s="9" t="s">
        <v>116</v>
      </c>
    </row>
    <row r="112" customFormat="false" ht="15" hidden="false" customHeight="false" outlineLevel="0" collapsed="false">
      <c r="A112" s="9" t="s">
        <v>407</v>
      </c>
      <c r="B112" s="9" t="n">
        <v>9000523</v>
      </c>
      <c r="C112" s="9" t="s">
        <v>41</v>
      </c>
      <c r="D112" s="9" t="s">
        <v>132</v>
      </c>
      <c r="E112" s="9" t="s">
        <v>133</v>
      </c>
      <c r="F112" s="9" t="s">
        <v>408</v>
      </c>
      <c r="G112" s="9" t="s">
        <v>266</v>
      </c>
      <c r="H112" s="9" t="s">
        <v>403</v>
      </c>
      <c r="I112" s="9" t="n">
        <v>15</v>
      </c>
      <c r="J112" s="9" t="s">
        <v>293</v>
      </c>
      <c r="K112" s="9" t="s">
        <v>116</v>
      </c>
    </row>
    <row r="113" customFormat="false" ht="15" hidden="false" customHeight="false" outlineLevel="0" collapsed="false">
      <c r="A113" s="9" t="s">
        <v>409</v>
      </c>
      <c r="B113" s="9" t="n">
        <v>9000558</v>
      </c>
      <c r="C113" s="9" t="s">
        <v>42</v>
      </c>
      <c r="D113" s="9" t="s">
        <v>132</v>
      </c>
      <c r="E113" s="9" t="s">
        <v>410</v>
      </c>
      <c r="F113" s="9" t="s">
        <v>411</v>
      </c>
      <c r="G113" s="9" t="s">
        <v>412</v>
      </c>
      <c r="H113" s="9" t="s">
        <v>413</v>
      </c>
      <c r="I113" s="9" t="n">
        <v>-311</v>
      </c>
      <c r="J113" s="9" t="s">
        <v>137</v>
      </c>
      <c r="K113" s="9" t="s">
        <v>116</v>
      </c>
    </row>
    <row r="114" customFormat="false" ht="15" hidden="false" customHeight="false" outlineLevel="0" collapsed="false">
      <c r="A114" s="9" t="s">
        <v>414</v>
      </c>
      <c r="B114" s="9" t="n">
        <v>9000562</v>
      </c>
      <c r="C114" s="9" t="s">
        <v>42</v>
      </c>
      <c r="D114" s="9" t="s">
        <v>132</v>
      </c>
      <c r="E114" s="9" t="s">
        <v>410</v>
      </c>
      <c r="F114" s="9" t="s">
        <v>415</v>
      </c>
      <c r="G114" s="9" t="s">
        <v>412</v>
      </c>
      <c r="H114" s="9" t="s">
        <v>413</v>
      </c>
      <c r="I114" s="9" t="n">
        <v>-311</v>
      </c>
      <c r="J114" s="9" t="s">
        <v>137</v>
      </c>
      <c r="K114" s="9" t="s">
        <v>116</v>
      </c>
    </row>
    <row r="115" customFormat="false" ht="15" hidden="false" customHeight="false" outlineLevel="0" collapsed="false">
      <c r="A115" s="9" t="s">
        <v>416</v>
      </c>
      <c r="B115" s="9" t="n">
        <v>9000563</v>
      </c>
      <c r="C115" s="9" t="s">
        <v>42</v>
      </c>
      <c r="D115" s="9" t="s">
        <v>132</v>
      </c>
      <c r="E115" s="9" t="s">
        <v>410</v>
      </c>
      <c r="F115" s="9" t="s">
        <v>417</v>
      </c>
      <c r="G115" s="9" t="s">
        <v>140</v>
      </c>
      <c r="H115" s="9" t="s">
        <v>418</v>
      </c>
      <c r="I115" s="9" t="n">
        <v>-310</v>
      </c>
      <c r="J115" s="9" t="s">
        <v>137</v>
      </c>
      <c r="K115" s="9" t="s">
        <v>116</v>
      </c>
    </row>
    <row r="116" customFormat="false" ht="15" hidden="false" customHeight="false" outlineLevel="0" collapsed="false">
      <c r="A116" s="9" t="s">
        <v>419</v>
      </c>
      <c r="B116" s="9" t="n">
        <v>9000564</v>
      </c>
      <c r="C116" s="9" t="s">
        <v>42</v>
      </c>
      <c r="D116" s="9" t="s">
        <v>132</v>
      </c>
      <c r="E116" s="9" t="s">
        <v>410</v>
      </c>
      <c r="F116" s="9" t="s">
        <v>420</v>
      </c>
      <c r="G116" s="9" t="s">
        <v>421</v>
      </c>
      <c r="H116" s="9" t="s">
        <v>148</v>
      </c>
      <c r="I116" s="9" t="n">
        <v>-309</v>
      </c>
      <c r="J116" s="9" t="s">
        <v>137</v>
      </c>
      <c r="K116" s="9" t="s">
        <v>116</v>
      </c>
    </row>
    <row r="117" customFormat="false" ht="15" hidden="false" customHeight="false" outlineLevel="0" collapsed="false">
      <c r="A117" s="9" t="s">
        <v>422</v>
      </c>
      <c r="B117" s="9" t="n">
        <v>9000576</v>
      </c>
      <c r="C117" s="9" t="s">
        <v>42</v>
      </c>
      <c r="D117" s="9" t="s">
        <v>132</v>
      </c>
      <c r="E117" s="9" t="s">
        <v>410</v>
      </c>
      <c r="F117" s="9" t="s">
        <v>423</v>
      </c>
      <c r="G117" s="9" t="s">
        <v>148</v>
      </c>
      <c r="H117" s="9" t="s">
        <v>424</v>
      </c>
      <c r="I117" s="9" t="n">
        <v>-294</v>
      </c>
      <c r="J117" s="9" t="s">
        <v>137</v>
      </c>
      <c r="K117" s="9" t="s">
        <v>116</v>
      </c>
    </row>
    <row r="118" customFormat="false" ht="15" hidden="false" customHeight="false" outlineLevel="0" collapsed="false">
      <c r="A118" s="9" t="s">
        <v>425</v>
      </c>
      <c r="B118" s="9" t="n">
        <v>9000578</v>
      </c>
      <c r="C118" s="9" t="s">
        <v>42</v>
      </c>
      <c r="D118" s="9" t="s">
        <v>132</v>
      </c>
      <c r="E118" s="9" t="s">
        <v>410</v>
      </c>
      <c r="F118" s="9" t="s">
        <v>426</v>
      </c>
      <c r="G118" s="9" t="s">
        <v>141</v>
      </c>
      <c r="H118" s="9" t="s">
        <v>427</v>
      </c>
      <c r="I118" s="9" t="n">
        <v>-290</v>
      </c>
      <c r="J118" s="9" t="s">
        <v>137</v>
      </c>
      <c r="K118" s="9" t="s">
        <v>116</v>
      </c>
    </row>
    <row r="119" customFormat="false" ht="15" hidden="false" customHeight="false" outlineLevel="0" collapsed="false">
      <c r="A119" s="9" t="s">
        <v>428</v>
      </c>
      <c r="B119" s="9" t="n">
        <v>9000585</v>
      </c>
      <c r="C119" s="9" t="s">
        <v>42</v>
      </c>
      <c r="D119" s="9" t="s">
        <v>132</v>
      </c>
      <c r="E119" s="9" t="s">
        <v>410</v>
      </c>
      <c r="F119" s="9" t="s">
        <v>429</v>
      </c>
      <c r="G119" s="9" t="s">
        <v>430</v>
      </c>
      <c r="H119" s="9" t="s">
        <v>153</v>
      </c>
      <c r="I119" s="9" t="n">
        <v>-276</v>
      </c>
      <c r="J119" s="9" t="s">
        <v>137</v>
      </c>
      <c r="K119" s="9" t="s">
        <v>116</v>
      </c>
    </row>
    <row r="120" customFormat="false" ht="15" hidden="false" customHeight="false" outlineLevel="0" collapsed="false">
      <c r="A120" s="9" t="s">
        <v>431</v>
      </c>
      <c r="B120" s="9" t="n">
        <v>9000597</v>
      </c>
      <c r="C120" s="9" t="s">
        <v>42</v>
      </c>
      <c r="D120" s="9" t="s">
        <v>132</v>
      </c>
      <c r="E120" s="9" t="s">
        <v>410</v>
      </c>
      <c r="F120" s="9" t="s">
        <v>432</v>
      </c>
      <c r="G120" s="9" t="s">
        <v>433</v>
      </c>
      <c r="H120" s="9" t="s">
        <v>434</v>
      </c>
      <c r="I120" s="9" t="n">
        <v>-255</v>
      </c>
      <c r="J120" s="9" t="s">
        <v>137</v>
      </c>
      <c r="K120" s="9" t="s">
        <v>116</v>
      </c>
    </row>
    <row r="121" customFormat="false" ht="15" hidden="false" customHeight="false" outlineLevel="0" collapsed="false">
      <c r="A121" s="9" t="s">
        <v>435</v>
      </c>
      <c r="B121" s="9" t="n">
        <v>9000615</v>
      </c>
      <c r="C121" s="9" t="s">
        <v>42</v>
      </c>
      <c r="D121" s="9" t="s">
        <v>132</v>
      </c>
      <c r="E121" s="9" t="s">
        <v>410</v>
      </c>
      <c r="F121" s="9" t="s">
        <v>436</v>
      </c>
      <c r="G121" s="9" t="s">
        <v>437</v>
      </c>
      <c r="H121" s="9" t="s">
        <v>438</v>
      </c>
      <c r="I121" s="9" t="n">
        <v>-217</v>
      </c>
      <c r="J121" s="9" t="s">
        <v>137</v>
      </c>
      <c r="K121" s="9" t="s">
        <v>116</v>
      </c>
    </row>
    <row r="122" customFormat="false" ht="15" hidden="false" customHeight="false" outlineLevel="0" collapsed="false">
      <c r="A122" s="9" t="s">
        <v>439</v>
      </c>
      <c r="B122" s="9" t="n">
        <v>9000630</v>
      </c>
      <c r="C122" s="9" t="s">
        <v>42</v>
      </c>
      <c r="D122" s="9" t="s">
        <v>132</v>
      </c>
      <c r="E122" s="9" t="s">
        <v>410</v>
      </c>
      <c r="F122" s="9" t="s">
        <v>440</v>
      </c>
      <c r="G122" s="9" t="s">
        <v>441</v>
      </c>
      <c r="H122" s="9" t="s">
        <v>442</v>
      </c>
      <c r="I122" s="9" t="n">
        <v>-182</v>
      </c>
      <c r="J122" s="9" t="s">
        <v>137</v>
      </c>
      <c r="K122" s="9" t="s">
        <v>116</v>
      </c>
    </row>
    <row r="123" customFormat="false" ht="15" hidden="false" customHeight="false" outlineLevel="0" collapsed="false">
      <c r="A123" s="9" t="s">
        <v>443</v>
      </c>
      <c r="B123" s="9" t="n">
        <v>9000631</v>
      </c>
      <c r="C123" s="9" t="s">
        <v>42</v>
      </c>
      <c r="D123" s="9" t="s">
        <v>132</v>
      </c>
      <c r="E123" s="9" t="s">
        <v>410</v>
      </c>
      <c r="F123" s="9" t="s">
        <v>444</v>
      </c>
      <c r="G123" s="9" t="s">
        <v>445</v>
      </c>
      <c r="H123" s="9" t="s">
        <v>446</v>
      </c>
      <c r="I123" s="9" t="n">
        <v>-179</v>
      </c>
      <c r="J123" s="9" t="s">
        <v>137</v>
      </c>
      <c r="K123" s="9" t="s">
        <v>116</v>
      </c>
    </row>
    <row r="124" customFormat="false" ht="15" hidden="false" customHeight="false" outlineLevel="0" collapsed="false">
      <c r="A124" s="9" t="s">
        <v>447</v>
      </c>
      <c r="B124" s="9" t="n">
        <v>9000649</v>
      </c>
      <c r="C124" s="9" t="s">
        <v>42</v>
      </c>
      <c r="D124" s="9" t="s">
        <v>132</v>
      </c>
      <c r="E124" s="9" t="s">
        <v>410</v>
      </c>
      <c r="F124" s="9" t="s">
        <v>448</v>
      </c>
      <c r="G124" s="9" t="s">
        <v>449</v>
      </c>
      <c r="H124" s="9" t="s">
        <v>450</v>
      </c>
      <c r="I124" s="9" t="n">
        <v>-141</v>
      </c>
      <c r="J124" s="9" t="s">
        <v>137</v>
      </c>
      <c r="K124" s="9" t="s">
        <v>116</v>
      </c>
    </row>
    <row r="125" customFormat="false" ht="15" hidden="false" customHeight="false" outlineLevel="0" collapsed="false">
      <c r="A125" s="9" t="s">
        <v>451</v>
      </c>
      <c r="B125" s="9" t="n">
        <v>9000650</v>
      </c>
      <c r="C125" s="9" t="s">
        <v>42</v>
      </c>
      <c r="D125" s="9" t="s">
        <v>132</v>
      </c>
      <c r="E125" s="9" t="s">
        <v>410</v>
      </c>
      <c r="F125" s="9" t="s">
        <v>452</v>
      </c>
      <c r="G125" s="9" t="s">
        <v>453</v>
      </c>
      <c r="H125" s="9" t="s">
        <v>454</v>
      </c>
      <c r="I125" s="9" t="n">
        <v>-137</v>
      </c>
      <c r="J125" s="9" t="s">
        <v>137</v>
      </c>
      <c r="K125" s="9" t="s">
        <v>116</v>
      </c>
    </row>
    <row r="126" customFormat="false" ht="15" hidden="false" customHeight="false" outlineLevel="0" collapsed="false">
      <c r="A126" s="9" t="s">
        <v>455</v>
      </c>
      <c r="B126" s="9" t="n">
        <v>9000679</v>
      </c>
      <c r="C126" s="9" t="s">
        <v>42</v>
      </c>
      <c r="D126" s="9" t="s">
        <v>132</v>
      </c>
      <c r="E126" s="9" t="s">
        <v>410</v>
      </c>
      <c r="F126" s="9" t="s">
        <v>456</v>
      </c>
      <c r="G126" s="9" t="s">
        <v>457</v>
      </c>
      <c r="H126" s="9" t="s">
        <v>458</v>
      </c>
      <c r="I126" s="9" t="n">
        <v>-86</v>
      </c>
      <c r="J126" s="9" t="s">
        <v>137</v>
      </c>
      <c r="K126" s="9" t="s">
        <v>116</v>
      </c>
    </row>
    <row r="127" customFormat="false" ht="15" hidden="false" customHeight="false" outlineLevel="0" collapsed="false">
      <c r="A127" s="9" t="s">
        <v>459</v>
      </c>
      <c r="B127" s="9" t="n">
        <v>9000681</v>
      </c>
      <c r="C127" s="9" t="s">
        <v>42</v>
      </c>
      <c r="D127" s="9" t="s">
        <v>132</v>
      </c>
      <c r="E127" s="9" t="s">
        <v>410</v>
      </c>
      <c r="F127" s="9" t="s">
        <v>460</v>
      </c>
      <c r="G127" s="9" t="s">
        <v>461</v>
      </c>
      <c r="H127" s="9" t="s">
        <v>462</v>
      </c>
      <c r="I127" s="9" t="n">
        <v>-84</v>
      </c>
      <c r="J127" s="9" t="s">
        <v>137</v>
      </c>
      <c r="K127" s="9" t="s">
        <v>116</v>
      </c>
    </row>
    <row r="128" customFormat="false" ht="15" hidden="false" customHeight="false" outlineLevel="0" collapsed="false">
      <c r="A128" s="9" t="s">
        <v>463</v>
      </c>
      <c r="B128" s="9" t="n">
        <v>9000686</v>
      </c>
      <c r="C128" s="9" t="s">
        <v>42</v>
      </c>
      <c r="D128" s="9" t="s">
        <v>132</v>
      </c>
      <c r="E128" s="9" t="s">
        <v>410</v>
      </c>
      <c r="F128" s="9" t="s">
        <v>464</v>
      </c>
      <c r="G128" s="9" t="s">
        <v>465</v>
      </c>
      <c r="H128" s="9" t="s">
        <v>192</v>
      </c>
      <c r="I128" s="9" t="n">
        <v>-73</v>
      </c>
      <c r="J128" s="9" t="s">
        <v>137</v>
      </c>
      <c r="K128" s="9" t="s">
        <v>116</v>
      </c>
    </row>
    <row r="129" customFormat="false" ht="15" hidden="false" customHeight="false" outlineLevel="0" collapsed="false">
      <c r="A129" s="9" t="s">
        <v>466</v>
      </c>
      <c r="B129" s="9" t="n">
        <v>9000688</v>
      </c>
      <c r="C129" s="9" t="s">
        <v>42</v>
      </c>
      <c r="D129" s="9" t="s">
        <v>132</v>
      </c>
      <c r="E129" s="9" t="s">
        <v>410</v>
      </c>
      <c r="F129" s="9" t="s">
        <v>467</v>
      </c>
      <c r="G129" s="9" t="s">
        <v>468</v>
      </c>
      <c r="H129" s="9" t="s">
        <v>469</v>
      </c>
      <c r="I129" s="9" t="n">
        <v>-70</v>
      </c>
      <c r="J129" s="9" t="s">
        <v>137</v>
      </c>
      <c r="K129" s="9" t="s">
        <v>116</v>
      </c>
    </row>
    <row r="130" customFormat="false" ht="15" hidden="false" customHeight="false" outlineLevel="0" collapsed="false">
      <c r="A130" s="9" t="s">
        <v>470</v>
      </c>
      <c r="B130" s="9" t="n">
        <v>9000692</v>
      </c>
      <c r="C130" s="9" t="s">
        <v>42</v>
      </c>
      <c r="D130" s="9" t="s">
        <v>132</v>
      </c>
      <c r="E130" s="9" t="s">
        <v>410</v>
      </c>
      <c r="F130" s="9" t="s">
        <v>471</v>
      </c>
      <c r="G130" s="9" t="s">
        <v>205</v>
      </c>
      <c r="H130" s="9" t="s">
        <v>472</v>
      </c>
      <c r="I130" s="9" t="n">
        <v>-64</v>
      </c>
      <c r="J130" s="9" t="s">
        <v>137</v>
      </c>
      <c r="K130" s="9" t="s">
        <v>116</v>
      </c>
    </row>
    <row r="131" customFormat="false" ht="15" hidden="false" customHeight="false" outlineLevel="0" collapsed="false">
      <c r="A131" s="9" t="s">
        <v>473</v>
      </c>
      <c r="B131" s="9" t="n">
        <v>9000729</v>
      </c>
      <c r="C131" s="9" t="s">
        <v>42</v>
      </c>
      <c r="D131" s="9" t="s">
        <v>132</v>
      </c>
      <c r="E131" s="9" t="s">
        <v>410</v>
      </c>
      <c r="F131" s="9" t="s">
        <v>474</v>
      </c>
      <c r="G131" s="9" t="s">
        <v>234</v>
      </c>
      <c r="H131" s="9" t="s">
        <v>278</v>
      </c>
      <c r="I131" s="9" t="n">
        <v>-3</v>
      </c>
      <c r="J131" s="9" t="s">
        <v>137</v>
      </c>
      <c r="K131" s="9" t="s">
        <v>116</v>
      </c>
    </row>
    <row r="132" customFormat="false" ht="15" hidden="false" customHeight="false" outlineLevel="0" collapsed="false">
      <c r="A132" s="9" t="s">
        <v>475</v>
      </c>
      <c r="B132" s="9" t="n">
        <v>9000731</v>
      </c>
      <c r="C132" s="9" t="s">
        <v>42</v>
      </c>
      <c r="D132" s="9" t="s">
        <v>132</v>
      </c>
      <c r="E132" s="9" t="s">
        <v>410</v>
      </c>
      <c r="F132" s="9" t="s">
        <v>476</v>
      </c>
      <c r="G132" s="9" t="s">
        <v>240</v>
      </c>
      <c r="H132" s="9" t="s">
        <v>286</v>
      </c>
      <c r="I132" s="9" t="n">
        <v>-2</v>
      </c>
      <c r="J132" s="9" t="s">
        <v>137</v>
      </c>
      <c r="K132" s="9" t="s">
        <v>116</v>
      </c>
    </row>
    <row r="133" customFormat="false" ht="15" hidden="false" customHeight="false" outlineLevel="0" collapsed="false">
      <c r="A133" s="9" t="s">
        <v>477</v>
      </c>
      <c r="B133" s="9" t="n">
        <v>9000732</v>
      </c>
      <c r="C133" s="9" t="s">
        <v>42</v>
      </c>
      <c r="D133" s="9" t="s">
        <v>132</v>
      </c>
      <c r="E133" s="9" t="s">
        <v>410</v>
      </c>
      <c r="F133" s="9" t="s">
        <v>478</v>
      </c>
      <c r="G133" s="9" t="s">
        <v>330</v>
      </c>
      <c r="H133" s="9" t="s">
        <v>479</v>
      </c>
      <c r="I133" s="9" t="n">
        <v>-1</v>
      </c>
      <c r="J133" s="9" t="s">
        <v>137</v>
      </c>
      <c r="K133" s="9" t="s">
        <v>116</v>
      </c>
    </row>
    <row r="134" customFormat="false" ht="15" hidden="false" customHeight="false" outlineLevel="0" collapsed="false">
      <c r="A134" s="9" t="s">
        <v>480</v>
      </c>
      <c r="B134" s="9" t="n">
        <v>9000733</v>
      </c>
      <c r="C134" s="9" t="s">
        <v>42</v>
      </c>
      <c r="D134" s="9" t="s">
        <v>132</v>
      </c>
      <c r="E134" s="9" t="s">
        <v>410</v>
      </c>
      <c r="F134" s="9" t="s">
        <v>481</v>
      </c>
      <c r="G134" s="9" t="s">
        <v>338</v>
      </c>
      <c r="H134" s="9" t="s">
        <v>482</v>
      </c>
      <c r="I134" s="9" t="n">
        <v>0</v>
      </c>
      <c r="J134" s="9" t="s">
        <v>293</v>
      </c>
      <c r="K134" s="9" t="s">
        <v>116</v>
      </c>
    </row>
    <row r="135" customFormat="false" ht="15" hidden="false" customHeight="false" outlineLevel="0" collapsed="false">
      <c r="A135" s="9" t="s">
        <v>483</v>
      </c>
      <c r="B135" s="9" t="n">
        <v>9000734</v>
      </c>
      <c r="C135" s="9" t="s">
        <v>42</v>
      </c>
      <c r="D135" s="9" t="s">
        <v>132</v>
      </c>
      <c r="E135" s="9" t="s">
        <v>410</v>
      </c>
      <c r="F135" s="9" t="s">
        <v>484</v>
      </c>
      <c r="G135" s="9" t="s">
        <v>252</v>
      </c>
      <c r="H135" s="9" t="s">
        <v>339</v>
      </c>
      <c r="I135" s="9" t="n">
        <v>5</v>
      </c>
      <c r="J135" s="9" t="s">
        <v>293</v>
      </c>
      <c r="K135" s="9" t="s">
        <v>116</v>
      </c>
    </row>
    <row r="136" customFormat="false" ht="15" hidden="false" customHeight="false" outlineLevel="0" collapsed="false">
      <c r="A136" s="9" t="s">
        <v>485</v>
      </c>
      <c r="B136" s="9" t="n">
        <v>9000736</v>
      </c>
      <c r="C136" s="9" t="s">
        <v>42</v>
      </c>
      <c r="D136" s="9" t="s">
        <v>132</v>
      </c>
      <c r="E136" s="9" t="s">
        <v>410</v>
      </c>
      <c r="F136" s="9" t="s">
        <v>486</v>
      </c>
      <c r="G136" s="9" t="s">
        <v>389</v>
      </c>
      <c r="H136" s="9" t="s">
        <v>487</v>
      </c>
      <c r="I136" s="9" t="n">
        <v>7</v>
      </c>
      <c r="J136" s="9" t="s">
        <v>293</v>
      </c>
      <c r="K136" s="9" t="s">
        <v>116</v>
      </c>
    </row>
    <row r="137" customFormat="false" ht="15" hidden="false" customHeight="false" outlineLevel="0" collapsed="false">
      <c r="A137" s="9" t="s">
        <v>488</v>
      </c>
      <c r="B137" s="9" t="n">
        <v>9000737</v>
      </c>
      <c r="C137" s="9" t="s">
        <v>42</v>
      </c>
      <c r="D137" s="9" t="s">
        <v>132</v>
      </c>
      <c r="E137" s="9" t="s">
        <v>410</v>
      </c>
      <c r="F137" s="9" t="s">
        <v>489</v>
      </c>
      <c r="G137" s="9" t="s">
        <v>266</v>
      </c>
      <c r="H137" s="9" t="s">
        <v>365</v>
      </c>
      <c r="I137" s="9" t="n">
        <v>10</v>
      </c>
      <c r="J137" s="9" t="s">
        <v>293</v>
      </c>
      <c r="K137" s="9" t="s">
        <v>116</v>
      </c>
    </row>
    <row r="138" customFormat="false" ht="15" hidden="false" customHeight="false" outlineLevel="0" collapsed="false">
      <c r="A138" s="9" t="s">
        <v>490</v>
      </c>
      <c r="B138" s="9" t="n">
        <v>9000747</v>
      </c>
      <c r="C138" s="9" t="s">
        <v>43</v>
      </c>
      <c r="D138" s="9" t="s">
        <v>132</v>
      </c>
      <c r="E138" s="9" t="s">
        <v>491</v>
      </c>
      <c r="F138" s="9" t="s">
        <v>492</v>
      </c>
      <c r="G138" s="9" t="s">
        <v>493</v>
      </c>
      <c r="H138" s="9" t="s">
        <v>494</v>
      </c>
      <c r="I138" s="9" t="n">
        <v>-346</v>
      </c>
      <c r="J138" s="9" t="s">
        <v>137</v>
      </c>
      <c r="K138" s="9" t="s">
        <v>116</v>
      </c>
    </row>
    <row r="139" customFormat="false" ht="15" hidden="false" customHeight="false" outlineLevel="0" collapsed="false">
      <c r="A139" s="9" t="s">
        <v>495</v>
      </c>
      <c r="B139" s="9" t="n">
        <v>9000748</v>
      </c>
      <c r="C139" s="9" t="s">
        <v>43</v>
      </c>
      <c r="D139" s="9" t="s">
        <v>132</v>
      </c>
      <c r="E139" s="9" t="s">
        <v>491</v>
      </c>
      <c r="F139" s="9" t="s">
        <v>496</v>
      </c>
      <c r="G139" s="9" t="s">
        <v>497</v>
      </c>
      <c r="H139" s="9" t="s">
        <v>498</v>
      </c>
      <c r="I139" s="9" t="n">
        <v>-345</v>
      </c>
      <c r="J139" s="9" t="s">
        <v>137</v>
      </c>
      <c r="K139" s="9" t="s">
        <v>116</v>
      </c>
    </row>
    <row r="140" customFormat="false" ht="15" hidden="false" customHeight="false" outlineLevel="0" collapsed="false">
      <c r="A140" s="9" t="s">
        <v>499</v>
      </c>
      <c r="B140" s="9" t="n">
        <v>9000757</v>
      </c>
      <c r="C140" s="9" t="s">
        <v>43</v>
      </c>
      <c r="D140" s="9" t="s">
        <v>132</v>
      </c>
      <c r="E140" s="9" t="s">
        <v>491</v>
      </c>
      <c r="F140" s="9" t="s">
        <v>500</v>
      </c>
      <c r="G140" s="9" t="s">
        <v>501</v>
      </c>
      <c r="H140" s="9" t="s">
        <v>502</v>
      </c>
      <c r="I140" s="9" t="n">
        <v>-342</v>
      </c>
      <c r="J140" s="9" t="s">
        <v>137</v>
      </c>
      <c r="K140" s="9" t="s">
        <v>116</v>
      </c>
    </row>
    <row r="141" customFormat="false" ht="15" hidden="false" customHeight="false" outlineLevel="0" collapsed="false">
      <c r="A141" s="9" t="s">
        <v>503</v>
      </c>
      <c r="B141" s="9" t="n">
        <v>9000764</v>
      </c>
      <c r="C141" s="9" t="s">
        <v>43</v>
      </c>
      <c r="D141" s="9" t="s">
        <v>132</v>
      </c>
      <c r="E141" s="9" t="s">
        <v>491</v>
      </c>
      <c r="F141" s="9" t="s">
        <v>504</v>
      </c>
      <c r="G141" s="9" t="s">
        <v>505</v>
      </c>
      <c r="H141" s="9" t="s">
        <v>506</v>
      </c>
      <c r="I141" s="9" t="n">
        <v>-338</v>
      </c>
      <c r="J141" s="9" t="s">
        <v>137</v>
      </c>
      <c r="K141" s="9" t="s">
        <v>116</v>
      </c>
    </row>
    <row r="142" customFormat="false" ht="15" hidden="false" customHeight="false" outlineLevel="0" collapsed="false">
      <c r="A142" s="9" t="s">
        <v>507</v>
      </c>
      <c r="B142" s="9" t="n">
        <v>9000780</v>
      </c>
      <c r="C142" s="9" t="s">
        <v>43</v>
      </c>
      <c r="D142" s="9" t="s">
        <v>132</v>
      </c>
      <c r="E142" s="9" t="s">
        <v>491</v>
      </c>
      <c r="F142" s="9" t="s">
        <v>508</v>
      </c>
      <c r="G142" s="9" t="s">
        <v>509</v>
      </c>
      <c r="H142" s="9" t="s">
        <v>510</v>
      </c>
      <c r="I142" s="9" t="n">
        <v>-333</v>
      </c>
      <c r="J142" s="9" t="s">
        <v>137</v>
      </c>
      <c r="K142" s="9" t="s">
        <v>116</v>
      </c>
    </row>
    <row r="143" customFormat="false" ht="15" hidden="false" customHeight="false" outlineLevel="0" collapsed="false">
      <c r="A143" s="9" t="s">
        <v>511</v>
      </c>
      <c r="B143" s="9" t="n">
        <v>9000791</v>
      </c>
      <c r="C143" s="9" t="s">
        <v>43</v>
      </c>
      <c r="D143" s="9" t="s">
        <v>132</v>
      </c>
      <c r="E143" s="9" t="s">
        <v>491</v>
      </c>
      <c r="F143" s="9" t="s">
        <v>512</v>
      </c>
      <c r="G143" s="9" t="s">
        <v>513</v>
      </c>
      <c r="H143" s="9" t="s">
        <v>514</v>
      </c>
      <c r="I143" s="9" t="n">
        <v>-328</v>
      </c>
      <c r="J143" s="9" t="s">
        <v>137</v>
      </c>
      <c r="K143" s="9" t="s">
        <v>116</v>
      </c>
    </row>
    <row r="144" customFormat="false" ht="15" hidden="false" customHeight="false" outlineLevel="0" collapsed="false">
      <c r="A144" s="9" t="s">
        <v>515</v>
      </c>
      <c r="B144" s="9" t="n">
        <v>9000792</v>
      </c>
      <c r="C144" s="9" t="s">
        <v>43</v>
      </c>
      <c r="D144" s="9" t="s">
        <v>132</v>
      </c>
      <c r="E144" s="9" t="s">
        <v>491</v>
      </c>
      <c r="F144" s="9" t="s">
        <v>516</v>
      </c>
      <c r="G144" s="9" t="s">
        <v>513</v>
      </c>
      <c r="H144" s="9" t="s">
        <v>514</v>
      </c>
      <c r="I144" s="9" t="n">
        <v>-328</v>
      </c>
      <c r="J144" s="9" t="s">
        <v>137</v>
      </c>
      <c r="K144" s="9" t="s">
        <v>116</v>
      </c>
    </row>
    <row r="145" customFormat="false" ht="15" hidden="false" customHeight="false" outlineLevel="0" collapsed="false">
      <c r="A145" s="9" t="s">
        <v>517</v>
      </c>
      <c r="B145" s="9" t="n">
        <v>9000799</v>
      </c>
      <c r="C145" s="9" t="s">
        <v>43</v>
      </c>
      <c r="D145" s="9" t="s">
        <v>132</v>
      </c>
      <c r="E145" s="9" t="s">
        <v>491</v>
      </c>
      <c r="F145" s="9" t="s">
        <v>518</v>
      </c>
      <c r="G145" s="9" t="s">
        <v>519</v>
      </c>
      <c r="H145" s="9" t="s">
        <v>421</v>
      </c>
      <c r="I145" s="9" t="n">
        <v>-324</v>
      </c>
      <c r="J145" s="9" t="s">
        <v>137</v>
      </c>
      <c r="K145" s="9" t="s">
        <v>116</v>
      </c>
    </row>
    <row r="146" customFormat="false" ht="15" hidden="false" customHeight="false" outlineLevel="0" collapsed="false">
      <c r="A146" s="9" t="s">
        <v>520</v>
      </c>
      <c r="B146" s="9" t="n">
        <v>9000815</v>
      </c>
      <c r="C146" s="9" t="s">
        <v>43</v>
      </c>
      <c r="D146" s="9" t="s">
        <v>132</v>
      </c>
      <c r="E146" s="9" t="s">
        <v>491</v>
      </c>
      <c r="F146" s="9" t="s">
        <v>521</v>
      </c>
      <c r="G146" s="9" t="s">
        <v>522</v>
      </c>
      <c r="H146" s="9" t="s">
        <v>523</v>
      </c>
      <c r="I146" s="9" t="n">
        <v>-317</v>
      </c>
      <c r="J146" s="9" t="s">
        <v>137</v>
      </c>
      <c r="K146" s="9" t="s">
        <v>116</v>
      </c>
    </row>
    <row r="147" customFormat="false" ht="15" hidden="false" customHeight="false" outlineLevel="0" collapsed="false">
      <c r="A147" s="9" t="s">
        <v>524</v>
      </c>
      <c r="B147" s="9" t="n">
        <v>9000841</v>
      </c>
      <c r="C147" s="9" t="s">
        <v>43</v>
      </c>
      <c r="D147" s="9" t="s">
        <v>132</v>
      </c>
      <c r="E147" s="9" t="s">
        <v>491</v>
      </c>
      <c r="F147" s="9" t="s">
        <v>525</v>
      </c>
      <c r="G147" s="9" t="s">
        <v>144</v>
      </c>
      <c r="H147" s="9" t="s">
        <v>145</v>
      </c>
      <c r="I147" s="9" t="n">
        <v>-303</v>
      </c>
      <c r="J147" s="9" t="s">
        <v>137</v>
      </c>
      <c r="K147" s="9" t="s">
        <v>116</v>
      </c>
    </row>
    <row r="148" customFormat="false" ht="15" hidden="false" customHeight="false" outlineLevel="0" collapsed="false">
      <c r="A148" s="9" t="s">
        <v>526</v>
      </c>
      <c r="B148" s="9" t="n">
        <v>9000855</v>
      </c>
      <c r="C148" s="9" t="s">
        <v>43</v>
      </c>
      <c r="D148" s="9" t="s">
        <v>132</v>
      </c>
      <c r="E148" s="9" t="s">
        <v>491</v>
      </c>
      <c r="F148" s="9" t="s">
        <v>527</v>
      </c>
      <c r="G148" s="9" t="s">
        <v>528</v>
      </c>
      <c r="H148" s="9" t="s">
        <v>529</v>
      </c>
      <c r="I148" s="9" t="n">
        <v>-299</v>
      </c>
      <c r="J148" s="9" t="s">
        <v>137</v>
      </c>
      <c r="K148" s="9" t="s">
        <v>116</v>
      </c>
    </row>
    <row r="149" customFormat="false" ht="15" hidden="false" customHeight="false" outlineLevel="0" collapsed="false">
      <c r="A149" s="9" t="s">
        <v>530</v>
      </c>
      <c r="B149" s="9" t="n">
        <v>9000860</v>
      </c>
      <c r="C149" s="9" t="s">
        <v>43</v>
      </c>
      <c r="D149" s="9" t="s">
        <v>132</v>
      </c>
      <c r="E149" s="9" t="s">
        <v>491</v>
      </c>
      <c r="F149" s="9" t="s">
        <v>531</v>
      </c>
      <c r="G149" s="9" t="s">
        <v>532</v>
      </c>
      <c r="H149" s="9" t="s">
        <v>533</v>
      </c>
      <c r="I149" s="9" t="n">
        <v>-298</v>
      </c>
      <c r="J149" s="9" t="s">
        <v>137</v>
      </c>
      <c r="K149" s="9" t="s">
        <v>116</v>
      </c>
    </row>
    <row r="150" customFormat="false" ht="15" hidden="false" customHeight="false" outlineLevel="0" collapsed="false">
      <c r="A150" s="9" t="s">
        <v>534</v>
      </c>
      <c r="B150" s="9" t="n">
        <v>9000866</v>
      </c>
      <c r="C150" s="9" t="s">
        <v>43</v>
      </c>
      <c r="D150" s="9" t="s">
        <v>132</v>
      </c>
      <c r="E150" s="9" t="s">
        <v>491</v>
      </c>
      <c r="F150" s="9" t="s">
        <v>535</v>
      </c>
      <c r="G150" s="9" t="s">
        <v>523</v>
      </c>
      <c r="H150" s="9" t="s">
        <v>536</v>
      </c>
      <c r="I150" s="9" t="n">
        <v>-297</v>
      </c>
      <c r="J150" s="9" t="s">
        <v>137</v>
      </c>
      <c r="K150" s="9" t="s">
        <v>116</v>
      </c>
    </row>
    <row r="151" customFormat="false" ht="15" hidden="false" customHeight="false" outlineLevel="0" collapsed="false">
      <c r="A151" s="9" t="s">
        <v>537</v>
      </c>
      <c r="B151" s="9" t="n">
        <v>9000867</v>
      </c>
      <c r="C151" s="9" t="s">
        <v>43</v>
      </c>
      <c r="D151" s="9" t="s">
        <v>132</v>
      </c>
      <c r="E151" s="9" t="s">
        <v>491</v>
      </c>
      <c r="F151" s="9" t="s">
        <v>538</v>
      </c>
      <c r="G151" s="9" t="s">
        <v>523</v>
      </c>
      <c r="H151" s="9" t="s">
        <v>536</v>
      </c>
      <c r="I151" s="9" t="n">
        <v>-297</v>
      </c>
      <c r="J151" s="9" t="s">
        <v>137</v>
      </c>
      <c r="K151" s="9" t="s">
        <v>116</v>
      </c>
    </row>
    <row r="152" customFormat="false" ht="15" hidden="false" customHeight="false" outlineLevel="0" collapsed="false">
      <c r="A152" s="9" t="s">
        <v>539</v>
      </c>
      <c r="B152" s="9" t="n">
        <v>9000873</v>
      </c>
      <c r="C152" s="9" t="s">
        <v>43</v>
      </c>
      <c r="D152" s="9" t="s">
        <v>132</v>
      </c>
      <c r="E152" s="9" t="s">
        <v>491</v>
      </c>
      <c r="F152" s="9" t="s">
        <v>540</v>
      </c>
      <c r="G152" s="9" t="s">
        <v>541</v>
      </c>
      <c r="H152" s="9" t="s">
        <v>542</v>
      </c>
      <c r="I152" s="9" t="n">
        <v>-292</v>
      </c>
      <c r="J152" s="9" t="s">
        <v>137</v>
      </c>
      <c r="K152" s="9" t="s">
        <v>116</v>
      </c>
    </row>
    <row r="153" customFormat="false" ht="15" hidden="false" customHeight="false" outlineLevel="0" collapsed="false">
      <c r="A153" s="9" t="s">
        <v>543</v>
      </c>
      <c r="B153" s="9" t="n">
        <v>9000878</v>
      </c>
      <c r="C153" s="9" t="s">
        <v>43</v>
      </c>
      <c r="D153" s="9" t="s">
        <v>132</v>
      </c>
      <c r="E153" s="9" t="s">
        <v>491</v>
      </c>
      <c r="F153" s="9" t="s">
        <v>544</v>
      </c>
      <c r="G153" s="9" t="s">
        <v>541</v>
      </c>
      <c r="H153" s="9" t="s">
        <v>542</v>
      </c>
      <c r="I153" s="9" t="n">
        <v>-292</v>
      </c>
      <c r="J153" s="9" t="s">
        <v>137</v>
      </c>
      <c r="K153" s="9" t="s">
        <v>116</v>
      </c>
    </row>
    <row r="154" customFormat="false" ht="15" hidden="false" customHeight="false" outlineLevel="0" collapsed="false">
      <c r="A154" s="9" t="s">
        <v>545</v>
      </c>
      <c r="B154" s="9" t="n">
        <v>9000885</v>
      </c>
      <c r="C154" s="9" t="s">
        <v>43</v>
      </c>
      <c r="D154" s="9" t="s">
        <v>132</v>
      </c>
      <c r="E154" s="9" t="s">
        <v>491</v>
      </c>
      <c r="F154" s="9" t="s">
        <v>546</v>
      </c>
      <c r="G154" s="9" t="s">
        <v>547</v>
      </c>
      <c r="H154" s="9" t="s">
        <v>548</v>
      </c>
      <c r="I154" s="9" t="n">
        <v>-284</v>
      </c>
      <c r="J154" s="9" t="s">
        <v>137</v>
      </c>
      <c r="K154" s="9" t="s">
        <v>116</v>
      </c>
    </row>
    <row r="155" customFormat="false" ht="15" hidden="false" customHeight="false" outlineLevel="0" collapsed="false">
      <c r="A155" s="9" t="s">
        <v>549</v>
      </c>
      <c r="B155" s="9" t="n">
        <v>9000887</v>
      </c>
      <c r="C155" s="9" t="s">
        <v>43</v>
      </c>
      <c r="D155" s="9" t="s">
        <v>132</v>
      </c>
      <c r="E155" s="9" t="s">
        <v>491</v>
      </c>
      <c r="F155" s="9" t="s">
        <v>550</v>
      </c>
      <c r="G155" s="9" t="s">
        <v>547</v>
      </c>
      <c r="H155" s="9" t="s">
        <v>548</v>
      </c>
      <c r="I155" s="9" t="n">
        <v>-284</v>
      </c>
      <c r="J155" s="9" t="s">
        <v>137</v>
      </c>
      <c r="K155" s="9" t="s">
        <v>116</v>
      </c>
    </row>
    <row r="156" customFormat="false" ht="15" hidden="false" customHeight="false" outlineLevel="0" collapsed="false">
      <c r="A156" s="9" t="s">
        <v>551</v>
      </c>
      <c r="B156" s="9" t="n">
        <v>9000898</v>
      </c>
      <c r="C156" s="9" t="s">
        <v>43</v>
      </c>
      <c r="D156" s="9" t="s">
        <v>132</v>
      </c>
      <c r="E156" s="9" t="s">
        <v>491</v>
      </c>
      <c r="F156" s="9" t="s">
        <v>552</v>
      </c>
      <c r="G156" s="9" t="s">
        <v>533</v>
      </c>
      <c r="H156" s="9" t="s">
        <v>553</v>
      </c>
      <c r="I156" s="9" t="n">
        <v>-278</v>
      </c>
      <c r="J156" s="9" t="s">
        <v>137</v>
      </c>
      <c r="K156" s="9" t="s">
        <v>116</v>
      </c>
    </row>
    <row r="157" customFormat="false" ht="15" hidden="false" customHeight="false" outlineLevel="0" collapsed="false">
      <c r="A157" s="9" t="s">
        <v>554</v>
      </c>
      <c r="B157" s="9" t="n">
        <v>9000907</v>
      </c>
      <c r="C157" s="9" t="s">
        <v>43</v>
      </c>
      <c r="D157" s="9" t="s">
        <v>132</v>
      </c>
      <c r="E157" s="9" t="s">
        <v>491</v>
      </c>
      <c r="F157" s="9" t="s">
        <v>555</v>
      </c>
      <c r="G157" s="9" t="s">
        <v>542</v>
      </c>
      <c r="H157" s="9" t="s">
        <v>556</v>
      </c>
      <c r="I157" s="9" t="n">
        <v>-272</v>
      </c>
      <c r="J157" s="9" t="s">
        <v>137</v>
      </c>
      <c r="K157" s="9" t="s">
        <v>116</v>
      </c>
    </row>
    <row r="158" customFormat="false" ht="15" hidden="false" customHeight="false" outlineLevel="0" collapsed="false">
      <c r="A158" s="9" t="s">
        <v>557</v>
      </c>
      <c r="B158" s="9" t="n">
        <v>9000916</v>
      </c>
      <c r="C158" s="9" t="s">
        <v>43</v>
      </c>
      <c r="D158" s="9" t="s">
        <v>132</v>
      </c>
      <c r="E158" s="9" t="s">
        <v>491</v>
      </c>
      <c r="F158" s="9" t="s">
        <v>558</v>
      </c>
      <c r="G158" s="9" t="s">
        <v>559</v>
      </c>
      <c r="H158" s="9" t="s">
        <v>560</v>
      </c>
      <c r="I158" s="9" t="n">
        <v>-268</v>
      </c>
      <c r="J158" s="9" t="s">
        <v>137</v>
      </c>
      <c r="K158" s="9" t="s">
        <v>116</v>
      </c>
    </row>
    <row r="159" customFormat="false" ht="15" hidden="false" customHeight="false" outlineLevel="0" collapsed="false">
      <c r="A159" s="9" t="s">
        <v>561</v>
      </c>
      <c r="B159" s="9" t="n">
        <v>9000921</v>
      </c>
      <c r="C159" s="9" t="s">
        <v>43</v>
      </c>
      <c r="D159" s="9" t="s">
        <v>132</v>
      </c>
      <c r="E159" s="9" t="s">
        <v>491</v>
      </c>
      <c r="F159" s="9" t="s">
        <v>562</v>
      </c>
      <c r="G159" s="9" t="s">
        <v>156</v>
      </c>
      <c r="H159" s="9" t="s">
        <v>157</v>
      </c>
      <c r="I159" s="9" t="n">
        <v>-265</v>
      </c>
      <c r="J159" s="9" t="s">
        <v>137</v>
      </c>
      <c r="K159" s="9" t="s">
        <v>116</v>
      </c>
    </row>
    <row r="160" customFormat="false" ht="15" hidden="false" customHeight="false" outlineLevel="0" collapsed="false">
      <c r="A160" s="9" t="s">
        <v>563</v>
      </c>
      <c r="B160" s="9" t="n">
        <v>9000924</v>
      </c>
      <c r="C160" s="9" t="s">
        <v>43</v>
      </c>
      <c r="D160" s="9" t="s">
        <v>132</v>
      </c>
      <c r="E160" s="9" t="s">
        <v>491</v>
      </c>
      <c r="F160" s="9" t="s">
        <v>564</v>
      </c>
      <c r="G160" s="9" t="s">
        <v>565</v>
      </c>
      <c r="H160" s="9" t="s">
        <v>566</v>
      </c>
      <c r="I160" s="9" t="n">
        <v>-263</v>
      </c>
      <c r="J160" s="9" t="s">
        <v>137</v>
      </c>
      <c r="K160" s="9" t="s">
        <v>116</v>
      </c>
    </row>
    <row r="161" customFormat="false" ht="15" hidden="false" customHeight="false" outlineLevel="0" collapsed="false">
      <c r="A161" s="9" t="s">
        <v>567</v>
      </c>
      <c r="B161" s="9" t="n">
        <v>9000936</v>
      </c>
      <c r="C161" s="9" t="s">
        <v>43</v>
      </c>
      <c r="D161" s="9" t="s">
        <v>132</v>
      </c>
      <c r="E161" s="9" t="s">
        <v>491</v>
      </c>
      <c r="F161" s="9" t="s">
        <v>568</v>
      </c>
      <c r="G161" s="9" t="s">
        <v>569</v>
      </c>
      <c r="H161" s="9" t="s">
        <v>570</v>
      </c>
      <c r="I161" s="9" t="n">
        <v>-261</v>
      </c>
      <c r="J161" s="9" t="s">
        <v>137</v>
      </c>
      <c r="K161" s="9" t="s">
        <v>116</v>
      </c>
    </row>
    <row r="162" customFormat="false" ht="15" hidden="false" customHeight="false" outlineLevel="0" collapsed="false">
      <c r="A162" s="9" t="s">
        <v>571</v>
      </c>
      <c r="B162" s="9" t="n">
        <v>9000939</v>
      </c>
      <c r="C162" s="9" t="s">
        <v>43</v>
      </c>
      <c r="D162" s="9" t="s">
        <v>132</v>
      </c>
      <c r="E162" s="9" t="s">
        <v>491</v>
      </c>
      <c r="F162" s="9" t="s">
        <v>572</v>
      </c>
      <c r="G162" s="9" t="s">
        <v>553</v>
      </c>
      <c r="H162" s="9" t="s">
        <v>573</v>
      </c>
      <c r="I162" s="9" t="n">
        <v>-258</v>
      </c>
      <c r="J162" s="9" t="s">
        <v>137</v>
      </c>
      <c r="K162" s="9" t="s">
        <v>116</v>
      </c>
    </row>
    <row r="163" customFormat="false" ht="15" hidden="false" customHeight="false" outlineLevel="0" collapsed="false">
      <c r="A163" s="9" t="s">
        <v>574</v>
      </c>
      <c r="B163" s="9" t="n">
        <v>9000954</v>
      </c>
      <c r="C163" s="9" t="s">
        <v>43</v>
      </c>
      <c r="D163" s="9" t="s">
        <v>132</v>
      </c>
      <c r="E163" s="9" t="s">
        <v>491</v>
      </c>
      <c r="F163" s="9" t="s">
        <v>575</v>
      </c>
      <c r="G163" s="9" t="s">
        <v>576</v>
      </c>
      <c r="H163" s="9" t="s">
        <v>577</v>
      </c>
      <c r="I163" s="9" t="n">
        <v>-249</v>
      </c>
      <c r="J163" s="9" t="s">
        <v>137</v>
      </c>
      <c r="K163" s="9" t="s">
        <v>116</v>
      </c>
    </row>
    <row r="164" customFormat="false" ht="15" hidden="false" customHeight="false" outlineLevel="0" collapsed="false">
      <c r="A164" s="9" t="s">
        <v>578</v>
      </c>
      <c r="B164" s="9" t="n">
        <v>9000960</v>
      </c>
      <c r="C164" s="9" t="s">
        <v>43</v>
      </c>
      <c r="D164" s="9" t="s">
        <v>132</v>
      </c>
      <c r="E164" s="9" t="s">
        <v>491</v>
      </c>
      <c r="F164" s="9" t="s">
        <v>579</v>
      </c>
      <c r="G164" s="9" t="s">
        <v>560</v>
      </c>
      <c r="H164" s="9" t="s">
        <v>580</v>
      </c>
      <c r="I164" s="9" t="n">
        <v>-248</v>
      </c>
      <c r="J164" s="9" t="s">
        <v>137</v>
      </c>
      <c r="K164" s="9" t="s">
        <v>116</v>
      </c>
    </row>
    <row r="165" customFormat="false" ht="15" hidden="false" customHeight="false" outlineLevel="0" collapsed="false">
      <c r="A165" s="9" t="s">
        <v>581</v>
      </c>
      <c r="B165" s="9" t="n">
        <v>9000963</v>
      </c>
      <c r="C165" s="9" t="s">
        <v>43</v>
      </c>
      <c r="D165" s="9" t="s">
        <v>132</v>
      </c>
      <c r="E165" s="9" t="s">
        <v>491</v>
      </c>
      <c r="F165" s="9" t="s">
        <v>582</v>
      </c>
      <c r="G165" s="9" t="s">
        <v>583</v>
      </c>
      <c r="H165" s="9" t="s">
        <v>584</v>
      </c>
      <c r="I165" s="9" t="n">
        <v>-247</v>
      </c>
      <c r="J165" s="9" t="s">
        <v>137</v>
      </c>
      <c r="K165" s="9" t="s">
        <v>116</v>
      </c>
    </row>
    <row r="166" customFormat="false" ht="15" hidden="false" customHeight="false" outlineLevel="0" collapsed="false">
      <c r="A166" s="9" t="s">
        <v>585</v>
      </c>
      <c r="B166" s="9" t="n">
        <v>9000965</v>
      </c>
      <c r="C166" s="9" t="s">
        <v>43</v>
      </c>
      <c r="D166" s="9" t="s">
        <v>132</v>
      </c>
      <c r="E166" s="9" t="s">
        <v>491</v>
      </c>
      <c r="F166" s="9" t="s">
        <v>586</v>
      </c>
      <c r="G166" s="9" t="s">
        <v>566</v>
      </c>
      <c r="H166" s="9" t="s">
        <v>587</v>
      </c>
      <c r="I166" s="9" t="n">
        <v>-243</v>
      </c>
      <c r="J166" s="9" t="s">
        <v>137</v>
      </c>
      <c r="K166" s="9" t="s">
        <v>116</v>
      </c>
    </row>
    <row r="167" customFormat="false" ht="15" hidden="false" customHeight="false" outlineLevel="0" collapsed="false">
      <c r="A167" s="9" t="s">
        <v>588</v>
      </c>
      <c r="B167" s="9" t="n">
        <v>9000984</v>
      </c>
      <c r="C167" s="9" t="s">
        <v>43</v>
      </c>
      <c r="D167" s="9" t="s">
        <v>132</v>
      </c>
      <c r="E167" s="9" t="s">
        <v>491</v>
      </c>
      <c r="F167" s="9" t="s">
        <v>589</v>
      </c>
      <c r="G167" s="9" t="s">
        <v>590</v>
      </c>
      <c r="H167" s="9" t="s">
        <v>591</v>
      </c>
      <c r="I167" s="9" t="n">
        <v>-237</v>
      </c>
      <c r="J167" s="9" t="s">
        <v>137</v>
      </c>
      <c r="K167" s="9" t="s">
        <v>116</v>
      </c>
    </row>
    <row r="168" customFormat="false" ht="15" hidden="false" customHeight="false" outlineLevel="0" collapsed="false">
      <c r="A168" s="9" t="s">
        <v>592</v>
      </c>
      <c r="B168" s="9" t="n">
        <v>9001013</v>
      </c>
      <c r="C168" s="9" t="s">
        <v>43</v>
      </c>
      <c r="D168" s="9" t="s">
        <v>132</v>
      </c>
      <c r="E168" s="9" t="s">
        <v>491</v>
      </c>
      <c r="F168" s="9" t="s">
        <v>593</v>
      </c>
      <c r="G168" s="9" t="s">
        <v>594</v>
      </c>
      <c r="H168" s="9" t="s">
        <v>595</v>
      </c>
      <c r="I168" s="9" t="n">
        <v>-222</v>
      </c>
      <c r="J168" s="9" t="s">
        <v>137</v>
      </c>
      <c r="K168" s="9" t="s">
        <v>116</v>
      </c>
    </row>
    <row r="169" customFormat="false" ht="15" hidden="false" customHeight="false" outlineLevel="0" collapsed="false">
      <c r="A169" s="9" t="s">
        <v>596</v>
      </c>
      <c r="B169" s="9" t="n">
        <v>9001037</v>
      </c>
      <c r="C169" s="9" t="s">
        <v>43</v>
      </c>
      <c r="D169" s="9" t="s">
        <v>132</v>
      </c>
      <c r="E169" s="9" t="s">
        <v>491</v>
      </c>
      <c r="F169" s="9" t="s">
        <v>597</v>
      </c>
      <c r="G169" s="9" t="s">
        <v>598</v>
      </c>
      <c r="H169" s="9" t="s">
        <v>599</v>
      </c>
      <c r="I169" s="9" t="n">
        <v>-215</v>
      </c>
      <c r="J169" s="9" t="s">
        <v>137</v>
      </c>
      <c r="K169" s="9" t="s">
        <v>116</v>
      </c>
    </row>
    <row r="170" customFormat="false" ht="15" hidden="false" customHeight="false" outlineLevel="0" collapsed="false">
      <c r="A170" s="9" t="s">
        <v>600</v>
      </c>
      <c r="B170" s="9" t="n">
        <v>9001038</v>
      </c>
      <c r="C170" s="9" t="s">
        <v>43</v>
      </c>
      <c r="D170" s="9" t="s">
        <v>132</v>
      </c>
      <c r="E170" s="9" t="s">
        <v>491</v>
      </c>
      <c r="F170" s="9" t="s">
        <v>582</v>
      </c>
      <c r="G170" s="9" t="s">
        <v>601</v>
      </c>
      <c r="H170" s="9" t="s">
        <v>602</v>
      </c>
      <c r="I170" s="9" t="n">
        <v>-214</v>
      </c>
      <c r="J170" s="9" t="s">
        <v>137</v>
      </c>
      <c r="K170" s="9" t="s">
        <v>116</v>
      </c>
    </row>
    <row r="171" customFormat="false" ht="15" hidden="false" customHeight="false" outlineLevel="0" collapsed="false">
      <c r="A171" s="9" t="s">
        <v>603</v>
      </c>
      <c r="B171" s="9" t="n">
        <v>9001040</v>
      </c>
      <c r="C171" s="9" t="s">
        <v>43</v>
      </c>
      <c r="D171" s="9" t="s">
        <v>132</v>
      </c>
      <c r="E171" s="9" t="s">
        <v>491</v>
      </c>
      <c r="F171" s="9" t="s">
        <v>604</v>
      </c>
      <c r="G171" s="9" t="s">
        <v>601</v>
      </c>
      <c r="H171" s="9" t="s">
        <v>602</v>
      </c>
      <c r="I171" s="9" t="n">
        <v>-214</v>
      </c>
      <c r="J171" s="9" t="s">
        <v>137</v>
      </c>
      <c r="K171" s="9" t="s">
        <v>116</v>
      </c>
    </row>
    <row r="172" customFormat="false" ht="15" hidden="false" customHeight="false" outlineLevel="0" collapsed="false">
      <c r="A172" s="9" t="s">
        <v>605</v>
      </c>
      <c r="B172" s="9" t="n">
        <v>9001082</v>
      </c>
      <c r="C172" s="9" t="s">
        <v>43</v>
      </c>
      <c r="D172" s="9" t="s">
        <v>132</v>
      </c>
      <c r="E172" s="9" t="s">
        <v>491</v>
      </c>
      <c r="F172" s="9" t="s">
        <v>606</v>
      </c>
      <c r="G172" s="9" t="s">
        <v>599</v>
      </c>
      <c r="H172" s="9" t="s">
        <v>607</v>
      </c>
      <c r="I172" s="9" t="n">
        <v>-195</v>
      </c>
      <c r="J172" s="9" t="s">
        <v>137</v>
      </c>
      <c r="K172" s="9" t="s">
        <v>116</v>
      </c>
    </row>
    <row r="173" customFormat="false" ht="15" hidden="false" customHeight="false" outlineLevel="0" collapsed="false">
      <c r="A173" s="9" t="s">
        <v>608</v>
      </c>
      <c r="B173" s="9" t="n">
        <v>9001087</v>
      </c>
      <c r="C173" s="9" t="s">
        <v>43</v>
      </c>
      <c r="D173" s="9" t="s">
        <v>132</v>
      </c>
      <c r="E173" s="9" t="s">
        <v>491</v>
      </c>
      <c r="F173" s="9" t="s">
        <v>609</v>
      </c>
      <c r="G173" s="9" t="s">
        <v>610</v>
      </c>
      <c r="H173" s="9" t="s">
        <v>611</v>
      </c>
      <c r="I173" s="9" t="n">
        <v>-193</v>
      </c>
      <c r="J173" s="9" t="s">
        <v>137</v>
      </c>
      <c r="K173" s="9" t="s">
        <v>116</v>
      </c>
    </row>
    <row r="174" customFormat="false" ht="15" hidden="false" customHeight="false" outlineLevel="0" collapsed="false">
      <c r="A174" s="9" t="s">
        <v>612</v>
      </c>
      <c r="B174" s="9" t="n">
        <v>9001097</v>
      </c>
      <c r="C174" s="9" t="s">
        <v>43</v>
      </c>
      <c r="D174" s="9" t="s">
        <v>132</v>
      </c>
      <c r="E174" s="9" t="s">
        <v>491</v>
      </c>
      <c r="F174" s="9" t="s">
        <v>613</v>
      </c>
      <c r="G174" s="9" t="s">
        <v>614</v>
      </c>
      <c r="H174" s="9" t="s">
        <v>615</v>
      </c>
      <c r="I174" s="9" t="n">
        <v>-187</v>
      </c>
      <c r="J174" s="9" t="s">
        <v>137</v>
      </c>
      <c r="K174" s="9" t="s">
        <v>116</v>
      </c>
    </row>
    <row r="175" customFormat="false" ht="15" hidden="false" customHeight="false" outlineLevel="0" collapsed="false">
      <c r="A175" s="9" t="s">
        <v>616</v>
      </c>
      <c r="B175" s="9" t="n">
        <v>9001111</v>
      </c>
      <c r="C175" s="9" t="s">
        <v>43</v>
      </c>
      <c r="D175" s="9" t="s">
        <v>132</v>
      </c>
      <c r="E175" s="9" t="s">
        <v>491</v>
      </c>
      <c r="F175" s="9" t="s">
        <v>617</v>
      </c>
      <c r="G175" s="9" t="s">
        <v>618</v>
      </c>
      <c r="H175" s="9" t="s">
        <v>619</v>
      </c>
      <c r="I175" s="9" t="n">
        <v>-181</v>
      </c>
      <c r="J175" s="9" t="s">
        <v>137</v>
      </c>
      <c r="K175" s="9" t="s">
        <v>116</v>
      </c>
    </row>
    <row r="176" customFormat="false" ht="15" hidden="false" customHeight="false" outlineLevel="0" collapsed="false">
      <c r="A176" s="9" t="s">
        <v>620</v>
      </c>
      <c r="B176" s="9" t="n">
        <v>9001112</v>
      </c>
      <c r="C176" s="9" t="s">
        <v>43</v>
      </c>
      <c r="D176" s="9" t="s">
        <v>132</v>
      </c>
      <c r="E176" s="9" t="s">
        <v>491</v>
      </c>
      <c r="F176" s="9" t="s">
        <v>621</v>
      </c>
      <c r="G176" s="9" t="s">
        <v>618</v>
      </c>
      <c r="H176" s="9" t="s">
        <v>619</v>
      </c>
      <c r="I176" s="9" t="n">
        <v>-181</v>
      </c>
      <c r="J176" s="9" t="s">
        <v>137</v>
      </c>
      <c r="K176" s="9" t="s">
        <v>116</v>
      </c>
    </row>
    <row r="177" customFormat="false" ht="15" hidden="false" customHeight="false" outlineLevel="0" collapsed="false">
      <c r="A177" s="9" t="s">
        <v>622</v>
      </c>
      <c r="B177" s="9" t="n">
        <v>9001117</v>
      </c>
      <c r="C177" s="9" t="s">
        <v>43</v>
      </c>
      <c r="D177" s="9" t="s">
        <v>132</v>
      </c>
      <c r="E177" s="9" t="s">
        <v>491</v>
      </c>
      <c r="F177" s="9" t="s">
        <v>623</v>
      </c>
      <c r="G177" s="9" t="s">
        <v>441</v>
      </c>
      <c r="H177" s="9" t="s">
        <v>624</v>
      </c>
      <c r="I177" s="9" t="n">
        <v>-177</v>
      </c>
      <c r="J177" s="9" t="s">
        <v>137</v>
      </c>
      <c r="K177" s="9" t="s">
        <v>116</v>
      </c>
    </row>
    <row r="178" customFormat="false" ht="15" hidden="false" customHeight="false" outlineLevel="0" collapsed="false">
      <c r="A178" s="9" t="s">
        <v>625</v>
      </c>
      <c r="B178" s="9" t="n">
        <v>9001128</v>
      </c>
      <c r="C178" s="9" t="s">
        <v>43</v>
      </c>
      <c r="D178" s="9" t="s">
        <v>132</v>
      </c>
      <c r="E178" s="9" t="s">
        <v>491</v>
      </c>
      <c r="F178" s="9" t="s">
        <v>626</v>
      </c>
      <c r="G178" s="9" t="s">
        <v>627</v>
      </c>
      <c r="H178" s="9" t="s">
        <v>628</v>
      </c>
      <c r="I178" s="9" t="n">
        <v>-171</v>
      </c>
      <c r="J178" s="9" t="s">
        <v>137</v>
      </c>
      <c r="K178" s="9" t="s">
        <v>116</v>
      </c>
    </row>
    <row r="179" customFormat="false" ht="15" hidden="false" customHeight="false" outlineLevel="0" collapsed="false">
      <c r="A179" s="9" t="s">
        <v>629</v>
      </c>
      <c r="B179" s="9" t="n">
        <v>9001136</v>
      </c>
      <c r="C179" s="9" t="s">
        <v>43</v>
      </c>
      <c r="D179" s="9" t="s">
        <v>132</v>
      </c>
      <c r="E179" s="9" t="s">
        <v>491</v>
      </c>
      <c r="F179" s="9" t="s">
        <v>630</v>
      </c>
      <c r="G179" s="9" t="s">
        <v>631</v>
      </c>
      <c r="H179" s="9" t="s">
        <v>632</v>
      </c>
      <c r="I179" s="9" t="n">
        <v>-165</v>
      </c>
      <c r="J179" s="9" t="s">
        <v>137</v>
      </c>
      <c r="K179" s="9" t="s">
        <v>116</v>
      </c>
    </row>
    <row r="180" customFormat="false" ht="15" hidden="false" customHeight="false" outlineLevel="0" collapsed="false">
      <c r="A180" s="9" t="s">
        <v>633</v>
      </c>
      <c r="B180" s="9" t="n">
        <v>9001149</v>
      </c>
      <c r="C180" s="9" t="s">
        <v>43</v>
      </c>
      <c r="D180" s="9" t="s">
        <v>132</v>
      </c>
      <c r="E180" s="9" t="s">
        <v>491</v>
      </c>
      <c r="F180" s="9" t="s">
        <v>634</v>
      </c>
      <c r="G180" s="9" t="s">
        <v>446</v>
      </c>
      <c r="H180" s="9" t="s">
        <v>635</v>
      </c>
      <c r="I180" s="9" t="n">
        <v>-159</v>
      </c>
      <c r="J180" s="9" t="s">
        <v>137</v>
      </c>
      <c r="K180" s="9" t="s">
        <v>116</v>
      </c>
    </row>
    <row r="181" customFormat="false" ht="15" hidden="false" customHeight="false" outlineLevel="0" collapsed="false">
      <c r="A181" s="9" t="s">
        <v>636</v>
      </c>
      <c r="B181" s="9" t="n">
        <v>9001197</v>
      </c>
      <c r="C181" s="9" t="s">
        <v>43</v>
      </c>
      <c r="D181" s="9" t="s">
        <v>132</v>
      </c>
      <c r="E181" s="9" t="s">
        <v>491</v>
      </c>
      <c r="F181" s="9" t="s">
        <v>637</v>
      </c>
      <c r="G181" s="9" t="s">
        <v>638</v>
      </c>
      <c r="H181" s="9" t="s">
        <v>639</v>
      </c>
      <c r="I181" s="9" t="n">
        <v>-138</v>
      </c>
      <c r="J181" s="9" t="s">
        <v>137</v>
      </c>
      <c r="K181" s="9" t="s">
        <v>116</v>
      </c>
    </row>
    <row r="182" customFormat="false" ht="15" hidden="false" customHeight="false" outlineLevel="0" collapsed="false">
      <c r="A182" s="9" t="s">
        <v>640</v>
      </c>
      <c r="B182" s="9" t="n">
        <v>9001208</v>
      </c>
      <c r="C182" s="9" t="s">
        <v>43</v>
      </c>
      <c r="D182" s="9" t="s">
        <v>132</v>
      </c>
      <c r="E182" s="9" t="s">
        <v>491</v>
      </c>
      <c r="F182" s="9" t="s">
        <v>641</v>
      </c>
      <c r="G182" s="9" t="s">
        <v>642</v>
      </c>
      <c r="H182" s="9" t="s">
        <v>643</v>
      </c>
      <c r="I182" s="9" t="n">
        <v>-135</v>
      </c>
      <c r="J182" s="9" t="s">
        <v>137</v>
      </c>
      <c r="K182" s="9" t="s">
        <v>116</v>
      </c>
    </row>
    <row r="183" customFormat="false" ht="15" hidden="false" customHeight="false" outlineLevel="0" collapsed="false">
      <c r="A183" s="9" t="s">
        <v>644</v>
      </c>
      <c r="B183" s="9" t="n">
        <v>9001212</v>
      </c>
      <c r="C183" s="9" t="s">
        <v>43</v>
      </c>
      <c r="D183" s="9" t="s">
        <v>132</v>
      </c>
      <c r="E183" s="9" t="s">
        <v>491</v>
      </c>
      <c r="F183" s="9" t="s">
        <v>645</v>
      </c>
      <c r="G183" s="9" t="s">
        <v>646</v>
      </c>
      <c r="H183" s="9" t="s">
        <v>647</v>
      </c>
      <c r="I183" s="9" t="n">
        <v>-131</v>
      </c>
      <c r="J183" s="9" t="s">
        <v>137</v>
      </c>
      <c r="K183" s="9" t="s">
        <v>116</v>
      </c>
    </row>
    <row r="184" customFormat="false" ht="15" hidden="false" customHeight="false" outlineLevel="0" collapsed="false">
      <c r="A184" s="9" t="s">
        <v>648</v>
      </c>
      <c r="B184" s="9" t="n">
        <v>9001222</v>
      </c>
      <c r="C184" s="9" t="s">
        <v>43</v>
      </c>
      <c r="D184" s="9" t="s">
        <v>132</v>
      </c>
      <c r="E184" s="9" t="s">
        <v>491</v>
      </c>
      <c r="F184" s="9" t="s">
        <v>649</v>
      </c>
      <c r="G184" s="9" t="s">
        <v>650</v>
      </c>
      <c r="H184" s="9" t="s">
        <v>651</v>
      </c>
      <c r="I184" s="9" t="n">
        <v>-125</v>
      </c>
      <c r="J184" s="9" t="s">
        <v>137</v>
      </c>
      <c r="K184" s="9" t="s">
        <v>116</v>
      </c>
    </row>
    <row r="185" customFormat="false" ht="15" hidden="false" customHeight="false" outlineLevel="0" collapsed="false">
      <c r="A185" s="9" t="s">
        <v>652</v>
      </c>
      <c r="B185" s="9" t="n">
        <v>9001236</v>
      </c>
      <c r="C185" s="9" t="s">
        <v>43</v>
      </c>
      <c r="D185" s="9" t="s">
        <v>132</v>
      </c>
      <c r="E185" s="9" t="s">
        <v>491</v>
      </c>
      <c r="F185" s="9" t="s">
        <v>653</v>
      </c>
      <c r="G185" s="9" t="s">
        <v>654</v>
      </c>
      <c r="H185" s="9" t="s">
        <v>655</v>
      </c>
      <c r="I185" s="9" t="n">
        <v>-122</v>
      </c>
      <c r="J185" s="9" t="s">
        <v>137</v>
      </c>
      <c r="K185" s="9" t="s">
        <v>116</v>
      </c>
    </row>
    <row r="186" customFormat="false" ht="15" hidden="false" customHeight="false" outlineLevel="0" collapsed="false">
      <c r="A186" s="9" t="s">
        <v>656</v>
      </c>
      <c r="B186" s="9" t="n">
        <v>9001241</v>
      </c>
      <c r="C186" s="9" t="s">
        <v>43</v>
      </c>
      <c r="D186" s="9" t="s">
        <v>132</v>
      </c>
      <c r="E186" s="9" t="s">
        <v>491</v>
      </c>
      <c r="F186" s="9" t="s">
        <v>657</v>
      </c>
      <c r="G186" s="9" t="s">
        <v>450</v>
      </c>
      <c r="H186" s="9" t="s">
        <v>658</v>
      </c>
      <c r="I186" s="9" t="n">
        <v>-121</v>
      </c>
      <c r="J186" s="9" t="s">
        <v>137</v>
      </c>
      <c r="K186" s="9" t="s">
        <v>116</v>
      </c>
    </row>
    <row r="187" customFormat="false" ht="15" hidden="false" customHeight="false" outlineLevel="0" collapsed="false">
      <c r="A187" s="9" t="s">
        <v>659</v>
      </c>
      <c r="B187" s="9" t="n">
        <v>9001244</v>
      </c>
      <c r="C187" s="9" t="s">
        <v>43</v>
      </c>
      <c r="D187" s="9" t="s">
        <v>132</v>
      </c>
      <c r="E187" s="9" t="s">
        <v>491</v>
      </c>
      <c r="F187" s="9" t="s">
        <v>660</v>
      </c>
      <c r="G187" s="9" t="s">
        <v>639</v>
      </c>
      <c r="H187" s="9" t="s">
        <v>661</v>
      </c>
      <c r="I187" s="9" t="n">
        <v>-118</v>
      </c>
      <c r="J187" s="9" t="s">
        <v>137</v>
      </c>
      <c r="K187" s="9" t="s">
        <v>116</v>
      </c>
    </row>
    <row r="188" customFormat="false" ht="15" hidden="false" customHeight="false" outlineLevel="0" collapsed="false">
      <c r="A188" s="9" t="s">
        <v>662</v>
      </c>
      <c r="B188" s="9" t="n">
        <v>9001249</v>
      </c>
      <c r="C188" s="9" t="s">
        <v>43</v>
      </c>
      <c r="D188" s="9" t="s">
        <v>132</v>
      </c>
      <c r="E188" s="9" t="s">
        <v>491</v>
      </c>
      <c r="F188" s="9" t="s">
        <v>663</v>
      </c>
      <c r="G188" s="9" t="s">
        <v>664</v>
      </c>
      <c r="H188" s="9" t="s">
        <v>665</v>
      </c>
      <c r="I188" s="9" t="n">
        <v>-114</v>
      </c>
      <c r="J188" s="9" t="s">
        <v>137</v>
      </c>
      <c r="K188" s="9" t="s">
        <v>116</v>
      </c>
    </row>
    <row r="189" customFormat="false" ht="15" hidden="false" customHeight="false" outlineLevel="0" collapsed="false">
      <c r="A189" s="9" t="s">
        <v>666</v>
      </c>
      <c r="B189" s="9" t="n">
        <v>9001250</v>
      </c>
      <c r="C189" s="9" t="s">
        <v>43</v>
      </c>
      <c r="D189" s="9" t="s">
        <v>132</v>
      </c>
      <c r="E189" s="9" t="s">
        <v>491</v>
      </c>
      <c r="F189" s="9" t="s">
        <v>667</v>
      </c>
      <c r="G189" s="9" t="s">
        <v>647</v>
      </c>
      <c r="H189" s="9" t="s">
        <v>668</v>
      </c>
      <c r="I189" s="9" t="n">
        <v>-111</v>
      </c>
      <c r="J189" s="9" t="s">
        <v>137</v>
      </c>
      <c r="K189" s="9" t="s">
        <v>116</v>
      </c>
    </row>
    <row r="190" customFormat="false" ht="15" hidden="false" customHeight="false" outlineLevel="0" collapsed="false">
      <c r="A190" s="9" t="s">
        <v>669</v>
      </c>
      <c r="B190" s="9" t="n">
        <v>9001254</v>
      </c>
      <c r="C190" s="9" t="s">
        <v>43</v>
      </c>
      <c r="D190" s="9" t="s">
        <v>132</v>
      </c>
      <c r="E190" s="9" t="s">
        <v>491</v>
      </c>
      <c r="F190" s="9" t="s">
        <v>670</v>
      </c>
      <c r="G190" s="9" t="s">
        <v>172</v>
      </c>
      <c r="H190" s="9" t="s">
        <v>173</v>
      </c>
      <c r="I190" s="9" t="n">
        <v>-109</v>
      </c>
      <c r="J190" s="9" t="s">
        <v>137</v>
      </c>
      <c r="K190" s="9" t="s">
        <v>116</v>
      </c>
    </row>
    <row r="191" customFormat="false" ht="15" hidden="false" customHeight="false" outlineLevel="0" collapsed="false">
      <c r="A191" s="9" t="s">
        <v>671</v>
      </c>
      <c r="B191" s="9" t="n">
        <v>9001266</v>
      </c>
      <c r="C191" s="9" t="s">
        <v>43</v>
      </c>
      <c r="D191" s="9" t="s">
        <v>132</v>
      </c>
      <c r="E191" s="9" t="s">
        <v>491</v>
      </c>
      <c r="F191" s="9" t="s">
        <v>672</v>
      </c>
      <c r="G191" s="9" t="s">
        <v>658</v>
      </c>
      <c r="H191" s="9" t="s">
        <v>457</v>
      </c>
      <c r="I191" s="9" t="n">
        <v>-101</v>
      </c>
      <c r="J191" s="9" t="s">
        <v>137</v>
      </c>
      <c r="K191" s="9" t="s">
        <v>116</v>
      </c>
    </row>
    <row r="192" customFormat="false" ht="15" hidden="false" customHeight="false" outlineLevel="0" collapsed="false">
      <c r="A192" s="9" t="s">
        <v>673</v>
      </c>
      <c r="B192" s="9" t="n">
        <v>9001303</v>
      </c>
      <c r="C192" s="9" t="s">
        <v>43</v>
      </c>
      <c r="D192" s="9" t="s">
        <v>132</v>
      </c>
      <c r="E192" s="9" t="s">
        <v>491</v>
      </c>
      <c r="F192" s="9" t="s">
        <v>674</v>
      </c>
      <c r="G192" s="9" t="s">
        <v>675</v>
      </c>
      <c r="H192" s="9" t="s">
        <v>465</v>
      </c>
      <c r="I192" s="9" t="n">
        <v>-88</v>
      </c>
      <c r="J192" s="9" t="s">
        <v>137</v>
      </c>
      <c r="K192" s="9" t="s">
        <v>116</v>
      </c>
    </row>
    <row r="193" customFormat="false" ht="15" hidden="false" customHeight="false" outlineLevel="0" collapsed="false">
      <c r="A193" s="9" t="s">
        <v>676</v>
      </c>
      <c r="B193" s="9" t="n">
        <v>9001313</v>
      </c>
      <c r="C193" s="9" t="s">
        <v>43</v>
      </c>
      <c r="D193" s="9" t="s">
        <v>132</v>
      </c>
      <c r="E193" s="9" t="s">
        <v>491</v>
      </c>
      <c r="F193" s="9" t="s">
        <v>677</v>
      </c>
      <c r="G193" s="9" t="s">
        <v>678</v>
      </c>
      <c r="H193" s="9" t="s">
        <v>679</v>
      </c>
      <c r="I193" s="9" t="n">
        <v>-82</v>
      </c>
      <c r="J193" s="9" t="s">
        <v>137</v>
      </c>
      <c r="K193" s="9" t="s">
        <v>116</v>
      </c>
    </row>
    <row r="194" customFormat="false" ht="15" hidden="false" customHeight="false" outlineLevel="0" collapsed="false">
      <c r="A194" s="9" t="s">
        <v>680</v>
      </c>
      <c r="B194" s="9" t="n">
        <v>9001328</v>
      </c>
      <c r="C194" s="9" t="s">
        <v>43</v>
      </c>
      <c r="D194" s="9" t="s">
        <v>132</v>
      </c>
      <c r="E194" s="9" t="s">
        <v>491</v>
      </c>
      <c r="F194" s="9" t="s">
        <v>504</v>
      </c>
      <c r="G194" s="9" t="s">
        <v>191</v>
      </c>
      <c r="H194" s="9" t="s">
        <v>192</v>
      </c>
      <c r="I194" s="9" t="n">
        <v>-73</v>
      </c>
      <c r="J194" s="9" t="s">
        <v>137</v>
      </c>
      <c r="K194" s="9" t="s">
        <v>116</v>
      </c>
    </row>
    <row r="195" customFormat="false" ht="15" hidden="false" customHeight="false" outlineLevel="0" collapsed="false">
      <c r="A195" s="9" t="s">
        <v>681</v>
      </c>
      <c r="B195" s="9" t="n">
        <v>9001342</v>
      </c>
      <c r="C195" s="9" t="s">
        <v>43</v>
      </c>
      <c r="D195" s="9" t="s">
        <v>132</v>
      </c>
      <c r="E195" s="9" t="s">
        <v>491</v>
      </c>
      <c r="F195" s="9" t="s">
        <v>682</v>
      </c>
      <c r="G195" s="9" t="s">
        <v>465</v>
      </c>
      <c r="H195" s="9" t="s">
        <v>217</v>
      </c>
      <c r="I195" s="9" t="n">
        <v>-68</v>
      </c>
      <c r="J195" s="9" t="s">
        <v>137</v>
      </c>
      <c r="K195" s="9" t="s">
        <v>116</v>
      </c>
    </row>
    <row r="196" customFormat="false" ht="15" hidden="false" customHeight="false" outlineLevel="0" collapsed="false">
      <c r="A196" s="9" t="s">
        <v>683</v>
      </c>
      <c r="B196" s="9" t="n">
        <v>9001345</v>
      </c>
      <c r="C196" s="9" t="s">
        <v>43</v>
      </c>
      <c r="D196" s="9" t="s">
        <v>132</v>
      </c>
      <c r="E196" s="9" t="s">
        <v>491</v>
      </c>
      <c r="F196" s="9" t="s">
        <v>684</v>
      </c>
      <c r="G196" s="9" t="s">
        <v>685</v>
      </c>
      <c r="H196" s="9" t="s">
        <v>686</v>
      </c>
      <c r="I196" s="9" t="n">
        <v>-67</v>
      </c>
      <c r="J196" s="9" t="s">
        <v>137</v>
      </c>
      <c r="K196" s="9" t="s">
        <v>116</v>
      </c>
    </row>
    <row r="197" customFormat="false" ht="15" hidden="false" customHeight="false" outlineLevel="0" collapsed="false">
      <c r="A197" s="9" t="s">
        <v>687</v>
      </c>
      <c r="B197" s="9" t="n">
        <v>9001350</v>
      </c>
      <c r="C197" s="9" t="s">
        <v>43</v>
      </c>
      <c r="D197" s="9" t="s">
        <v>132</v>
      </c>
      <c r="E197" s="9" t="s">
        <v>491</v>
      </c>
      <c r="F197" s="9" t="s">
        <v>688</v>
      </c>
      <c r="G197" s="9" t="s">
        <v>468</v>
      </c>
      <c r="H197" s="9" t="s">
        <v>221</v>
      </c>
      <c r="I197" s="9" t="n">
        <v>-65</v>
      </c>
      <c r="J197" s="9" t="s">
        <v>137</v>
      </c>
      <c r="K197" s="9" t="s">
        <v>116</v>
      </c>
    </row>
    <row r="198" customFormat="false" ht="15" hidden="false" customHeight="false" outlineLevel="0" collapsed="false">
      <c r="A198" s="9" t="s">
        <v>689</v>
      </c>
      <c r="B198" s="9" t="n">
        <v>9001359</v>
      </c>
      <c r="C198" s="9" t="s">
        <v>43</v>
      </c>
      <c r="D198" s="9" t="s">
        <v>132</v>
      </c>
      <c r="E198" s="9" t="s">
        <v>491</v>
      </c>
      <c r="F198" s="9" t="s">
        <v>690</v>
      </c>
      <c r="G198" s="9" t="s">
        <v>205</v>
      </c>
      <c r="H198" s="9" t="s">
        <v>206</v>
      </c>
      <c r="I198" s="9" t="n">
        <v>-59</v>
      </c>
      <c r="J198" s="9" t="s">
        <v>137</v>
      </c>
      <c r="K198" s="9" t="s">
        <v>116</v>
      </c>
    </row>
    <row r="199" customFormat="false" ht="15" hidden="false" customHeight="false" outlineLevel="0" collapsed="false">
      <c r="A199" s="9" t="s">
        <v>691</v>
      </c>
      <c r="B199" s="9" t="n">
        <v>9001376</v>
      </c>
      <c r="C199" s="9" t="s">
        <v>43</v>
      </c>
      <c r="D199" s="9" t="s">
        <v>132</v>
      </c>
      <c r="E199" s="9" t="s">
        <v>491</v>
      </c>
      <c r="F199" s="9" t="s">
        <v>692</v>
      </c>
      <c r="G199" s="9" t="s">
        <v>217</v>
      </c>
      <c r="H199" s="9" t="s">
        <v>218</v>
      </c>
      <c r="I199" s="9" t="n">
        <v>-48</v>
      </c>
      <c r="J199" s="9" t="s">
        <v>137</v>
      </c>
      <c r="K199" s="9" t="s">
        <v>116</v>
      </c>
    </row>
    <row r="200" customFormat="false" ht="15" hidden="false" customHeight="false" outlineLevel="0" collapsed="false">
      <c r="A200" s="9" t="s">
        <v>693</v>
      </c>
      <c r="B200" s="9" t="n">
        <v>9001388</v>
      </c>
      <c r="C200" s="9" t="s">
        <v>43</v>
      </c>
      <c r="D200" s="9" t="s">
        <v>132</v>
      </c>
      <c r="E200" s="9" t="s">
        <v>491</v>
      </c>
      <c r="F200" s="9" t="s">
        <v>694</v>
      </c>
      <c r="G200" s="9" t="s">
        <v>695</v>
      </c>
      <c r="H200" s="9" t="s">
        <v>229</v>
      </c>
      <c r="I200" s="9" t="n">
        <v>-46</v>
      </c>
      <c r="J200" s="9" t="s">
        <v>137</v>
      </c>
      <c r="K200" s="9" t="s">
        <v>116</v>
      </c>
    </row>
    <row r="201" customFormat="false" ht="15" hidden="false" customHeight="false" outlineLevel="0" collapsed="false">
      <c r="A201" s="9" t="s">
        <v>696</v>
      </c>
      <c r="B201" s="9" t="n">
        <v>9001419</v>
      </c>
      <c r="C201" s="9" t="s">
        <v>43</v>
      </c>
      <c r="D201" s="9" t="s">
        <v>132</v>
      </c>
      <c r="E201" s="9" t="s">
        <v>491</v>
      </c>
      <c r="F201" s="9" t="s">
        <v>697</v>
      </c>
      <c r="G201" s="9" t="s">
        <v>225</v>
      </c>
      <c r="H201" s="9" t="s">
        <v>226</v>
      </c>
      <c r="I201" s="9" t="n">
        <v>-30</v>
      </c>
      <c r="J201" s="9" t="s">
        <v>137</v>
      </c>
      <c r="K201" s="9" t="s">
        <v>116</v>
      </c>
    </row>
    <row r="202" customFormat="false" ht="15" hidden="false" customHeight="false" outlineLevel="0" collapsed="false">
      <c r="A202" s="9" t="s">
        <v>698</v>
      </c>
      <c r="B202" s="9" t="n">
        <v>9001426</v>
      </c>
      <c r="C202" s="9" t="s">
        <v>43</v>
      </c>
      <c r="D202" s="9" t="s">
        <v>132</v>
      </c>
      <c r="E202" s="9" t="s">
        <v>491</v>
      </c>
      <c r="F202" s="9" t="s">
        <v>699</v>
      </c>
      <c r="G202" s="9" t="s">
        <v>222</v>
      </c>
      <c r="H202" s="9" t="s">
        <v>265</v>
      </c>
      <c r="I202" s="9" t="n">
        <v>-25</v>
      </c>
      <c r="J202" s="9" t="s">
        <v>137</v>
      </c>
      <c r="K202" s="9" t="s">
        <v>116</v>
      </c>
    </row>
    <row r="203" customFormat="false" ht="15" hidden="false" customHeight="false" outlineLevel="0" collapsed="false">
      <c r="A203" s="9" t="s">
        <v>700</v>
      </c>
      <c r="B203" s="9" t="n">
        <v>9001457</v>
      </c>
      <c r="C203" s="9" t="s">
        <v>43</v>
      </c>
      <c r="D203" s="9" t="s">
        <v>132</v>
      </c>
      <c r="E203" s="9" t="s">
        <v>491</v>
      </c>
      <c r="F203" s="9" t="s">
        <v>701</v>
      </c>
      <c r="G203" s="9" t="s">
        <v>702</v>
      </c>
      <c r="H203" s="9" t="s">
        <v>330</v>
      </c>
      <c r="I203" s="9" t="n">
        <v>-16</v>
      </c>
      <c r="J203" s="9" t="s">
        <v>137</v>
      </c>
      <c r="K203" s="9" t="s">
        <v>116</v>
      </c>
    </row>
    <row r="204" customFormat="false" ht="15" hidden="false" customHeight="false" outlineLevel="0" collapsed="false">
      <c r="A204" s="9" t="s">
        <v>703</v>
      </c>
      <c r="B204" s="9" t="n">
        <v>9001459</v>
      </c>
      <c r="C204" s="9" t="s">
        <v>43</v>
      </c>
      <c r="D204" s="9" t="s">
        <v>132</v>
      </c>
      <c r="E204" s="9" t="s">
        <v>491</v>
      </c>
      <c r="F204" s="9" t="s">
        <v>704</v>
      </c>
      <c r="G204" s="9" t="s">
        <v>243</v>
      </c>
      <c r="H204" s="9" t="s">
        <v>244</v>
      </c>
      <c r="I204" s="9" t="n">
        <v>-13</v>
      </c>
      <c r="J204" s="9" t="s">
        <v>137</v>
      </c>
      <c r="K204" s="9" t="s">
        <v>116</v>
      </c>
    </row>
    <row r="205" customFormat="false" ht="15" hidden="false" customHeight="false" outlineLevel="0" collapsed="false">
      <c r="A205" s="9" t="s">
        <v>705</v>
      </c>
      <c r="B205" s="9" t="n">
        <v>9001463</v>
      </c>
      <c r="C205" s="9" t="s">
        <v>43</v>
      </c>
      <c r="D205" s="9" t="s">
        <v>132</v>
      </c>
      <c r="E205" s="9" t="s">
        <v>491</v>
      </c>
      <c r="F205" s="9" t="s">
        <v>706</v>
      </c>
      <c r="G205" s="9" t="s">
        <v>707</v>
      </c>
      <c r="H205" s="9" t="s">
        <v>347</v>
      </c>
      <c r="I205" s="9" t="n">
        <v>-12</v>
      </c>
      <c r="J205" s="9" t="s">
        <v>137</v>
      </c>
      <c r="K205" s="9" t="s">
        <v>116</v>
      </c>
    </row>
    <row r="206" customFormat="false" ht="15" hidden="false" customHeight="false" outlineLevel="0" collapsed="false">
      <c r="A206" s="9" t="s">
        <v>708</v>
      </c>
      <c r="B206" s="9" t="n">
        <v>9001464</v>
      </c>
      <c r="C206" s="9" t="s">
        <v>43</v>
      </c>
      <c r="D206" s="9" t="s">
        <v>132</v>
      </c>
      <c r="E206" s="9" t="s">
        <v>491</v>
      </c>
      <c r="F206" s="9" t="s">
        <v>709</v>
      </c>
      <c r="G206" s="9" t="s">
        <v>248</v>
      </c>
      <c r="H206" s="9" t="s">
        <v>249</v>
      </c>
      <c r="I206" s="9" t="n">
        <v>-11</v>
      </c>
      <c r="J206" s="9" t="s">
        <v>137</v>
      </c>
      <c r="K206" s="9" t="s">
        <v>116</v>
      </c>
    </row>
    <row r="207" customFormat="false" ht="15" hidden="false" customHeight="false" outlineLevel="0" collapsed="false">
      <c r="A207" s="9" t="s">
        <v>710</v>
      </c>
      <c r="B207" s="9" t="n">
        <v>9001465</v>
      </c>
      <c r="C207" s="9" t="s">
        <v>43</v>
      </c>
      <c r="D207" s="9" t="s">
        <v>132</v>
      </c>
      <c r="E207" s="9" t="s">
        <v>491</v>
      </c>
      <c r="F207" s="9" t="s">
        <v>711</v>
      </c>
      <c r="G207" s="9" t="s">
        <v>226</v>
      </c>
      <c r="H207" s="9" t="s">
        <v>252</v>
      </c>
      <c r="I207" s="9" t="n">
        <v>-10</v>
      </c>
      <c r="J207" s="9" t="s">
        <v>137</v>
      </c>
      <c r="K207" s="9" t="s">
        <v>116</v>
      </c>
    </row>
    <row r="208" customFormat="false" ht="15" hidden="false" customHeight="false" outlineLevel="0" collapsed="false">
      <c r="A208" s="9" t="s">
        <v>712</v>
      </c>
      <c r="B208" s="9" t="n">
        <v>9001471</v>
      </c>
      <c r="C208" s="9" t="s">
        <v>43</v>
      </c>
      <c r="D208" s="9" t="s">
        <v>132</v>
      </c>
      <c r="E208" s="9" t="s">
        <v>491</v>
      </c>
      <c r="F208" s="9" t="s">
        <v>713</v>
      </c>
      <c r="G208" s="9" t="s">
        <v>230</v>
      </c>
      <c r="H208" s="9" t="s">
        <v>259</v>
      </c>
      <c r="I208" s="9" t="n">
        <v>-6</v>
      </c>
      <c r="J208" s="9" t="s">
        <v>137</v>
      </c>
      <c r="K208" s="9" t="s">
        <v>116</v>
      </c>
    </row>
    <row r="209" customFormat="false" ht="15" hidden="false" customHeight="false" outlineLevel="0" collapsed="false">
      <c r="A209" s="9" t="s">
        <v>714</v>
      </c>
      <c r="B209" s="9" t="n">
        <v>9001473</v>
      </c>
      <c r="C209" s="9" t="s">
        <v>43</v>
      </c>
      <c r="D209" s="9" t="s">
        <v>132</v>
      </c>
      <c r="E209" s="9" t="s">
        <v>491</v>
      </c>
      <c r="F209" s="9" t="s">
        <v>715</v>
      </c>
      <c r="G209" s="9" t="s">
        <v>230</v>
      </c>
      <c r="H209" s="9" t="s">
        <v>259</v>
      </c>
      <c r="I209" s="9" t="n">
        <v>-6</v>
      </c>
      <c r="J209" s="9" t="s">
        <v>137</v>
      </c>
      <c r="K209" s="9" t="s">
        <v>116</v>
      </c>
    </row>
    <row r="210" customFormat="false" ht="15" hidden="false" customHeight="false" outlineLevel="0" collapsed="false">
      <c r="A210" s="9" t="s">
        <v>716</v>
      </c>
      <c r="B210" s="9" t="n">
        <v>9001476</v>
      </c>
      <c r="C210" s="9" t="s">
        <v>43</v>
      </c>
      <c r="D210" s="9" t="s">
        <v>132</v>
      </c>
      <c r="E210" s="9" t="s">
        <v>491</v>
      </c>
      <c r="F210" s="9" t="s">
        <v>717</v>
      </c>
      <c r="G210" s="9" t="s">
        <v>265</v>
      </c>
      <c r="H210" s="9" t="s">
        <v>266</v>
      </c>
      <c r="I210" s="9" t="n">
        <v>-5</v>
      </c>
      <c r="J210" s="9" t="s">
        <v>137</v>
      </c>
      <c r="K210" s="9" t="s">
        <v>116</v>
      </c>
    </row>
    <row r="211" customFormat="false" ht="15" hidden="false" customHeight="false" outlineLevel="0" collapsed="false">
      <c r="A211" s="9" t="s">
        <v>718</v>
      </c>
      <c r="B211" s="9" t="n">
        <v>9001478</v>
      </c>
      <c r="C211" s="9" t="s">
        <v>43</v>
      </c>
      <c r="D211" s="9" t="s">
        <v>132</v>
      </c>
      <c r="E211" s="9" t="s">
        <v>491</v>
      </c>
      <c r="F211" s="9" t="s">
        <v>719</v>
      </c>
      <c r="G211" s="9" t="s">
        <v>273</v>
      </c>
      <c r="H211" s="9" t="s">
        <v>274</v>
      </c>
      <c r="I211" s="9" t="n">
        <v>-4</v>
      </c>
      <c r="J211" s="9" t="s">
        <v>137</v>
      </c>
      <c r="K211" s="9" t="s">
        <v>116</v>
      </c>
    </row>
    <row r="212" customFormat="false" ht="15" hidden="false" customHeight="false" outlineLevel="0" collapsed="false">
      <c r="A212" s="9" t="s">
        <v>720</v>
      </c>
      <c r="B212" s="9" t="n">
        <v>9001483</v>
      </c>
      <c r="C212" s="9" t="s">
        <v>43</v>
      </c>
      <c r="D212" s="9" t="s">
        <v>132</v>
      </c>
      <c r="E212" s="9" t="s">
        <v>491</v>
      </c>
      <c r="F212" s="9" t="s">
        <v>721</v>
      </c>
      <c r="G212" s="9" t="s">
        <v>285</v>
      </c>
      <c r="H212" s="9" t="s">
        <v>286</v>
      </c>
      <c r="I212" s="9" t="n">
        <v>-2</v>
      </c>
      <c r="J212" s="9" t="s">
        <v>137</v>
      </c>
      <c r="K212" s="9" t="s">
        <v>116</v>
      </c>
    </row>
    <row r="213" customFormat="false" ht="15" hidden="false" customHeight="false" outlineLevel="0" collapsed="false">
      <c r="A213" s="9" t="s">
        <v>722</v>
      </c>
      <c r="B213" s="9" t="n">
        <v>9001486</v>
      </c>
      <c r="C213" s="9" t="s">
        <v>43</v>
      </c>
      <c r="D213" s="9" t="s">
        <v>132</v>
      </c>
      <c r="E213" s="9" t="s">
        <v>491</v>
      </c>
      <c r="F213" s="9" t="s">
        <v>723</v>
      </c>
      <c r="G213" s="9" t="s">
        <v>291</v>
      </c>
      <c r="H213" s="9" t="s">
        <v>292</v>
      </c>
      <c r="I213" s="9" t="n">
        <v>1</v>
      </c>
      <c r="J213" s="9" t="s">
        <v>293</v>
      </c>
      <c r="K213" s="9" t="s">
        <v>116</v>
      </c>
    </row>
    <row r="214" customFormat="false" ht="15" hidden="false" customHeight="false" outlineLevel="0" collapsed="false">
      <c r="A214" s="9" t="s">
        <v>724</v>
      </c>
      <c r="B214" s="9" t="n">
        <v>9001487</v>
      </c>
      <c r="C214" s="9" t="s">
        <v>43</v>
      </c>
      <c r="D214" s="9" t="s">
        <v>132</v>
      </c>
      <c r="E214" s="9" t="s">
        <v>491</v>
      </c>
      <c r="F214" s="9" t="s">
        <v>725</v>
      </c>
      <c r="G214" s="9" t="s">
        <v>291</v>
      </c>
      <c r="H214" s="9" t="s">
        <v>292</v>
      </c>
      <c r="I214" s="9" t="n">
        <v>1</v>
      </c>
      <c r="J214" s="9" t="s">
        <v>293</v>
      </c>
      <c r="K214" s="9" t="s">
        <v>116</v>
      </c>
    </row>
    <row r="215" customFormat="false" ht="15" hidden="false" customHeight="false" outlineLevel="0" collapsed="false">
      <c r="A215" s="9" t="s">
        <v>726</v>
      </c>
      <c r="B215" s="9" t="n">
        <v>9001489</v>
      </c>
      <c r="C215" s="9" t="s">
        <v>43</v>
      </c>
      <c r="D215" s="9" t="s">
        <v>132</v>
      </c>
      <c r="E215" s="9" t="s">
        <v>491</v>
      </c>
      <c r="F215" s="9" t="s">
        <v>727</v>
      </c>
      <c r="G215" s="9" t="s">
        <v>234</v>
      </c>
      <c r="H215" s="9" t="s">
        <v>309</v>
      </c>
      <c r="I215" s="9" t="n">
        <v>2</v>
      </c>
      <c r="J215" s="9" t="s">
        <v>293</v>
      </c>
      <c r="K215" s="9" t="s">
        <v>116</v>
      </c>
    </row>
    <row r="216" customFormat="false" ht="15" hidden="false" customHeight="false" outlineLevel="0" collapsed="false">
      <c r="A216" s="9" t="s">
        <v>728</v>
      </c>
      <c r="B216" s="9" t="n">
        <v>9001491</v>
      </c>
      <c r="C216" s="9" t="s">
        <v>43</v>
      </c>
      <c r="D216" s="9" t="s">
        <v>132</v>
      </c>
      <c r="E216" s="9" t="s">
        <v>491</v>
      </c>
      <c r="F216" s="9" t="s">
        <v>729</v>
      </c>
      <c r="G216" s="9" t="s">
        <v>234</v>
      </c>
      <c r="H216" s="9" t="s">
        <v>309</v>
      </c>
      <c r="I216" s="9" t="n">
        <v>2</v>
      </c>
      <c r="J216" s="9" t="s">
        <v>293</v>
      </c>
      <c r="K216" s="9" t="s">
        <v>116</v>
      </c>
    </row>
    <row r="217" customFormat="false" ht="15" hidden="false" customHeight="false" outlineLevel="0" collapsed="false">
      <c r="A217" s="9" t="s">
        <v>730</v>
      </c>
      <c r="B217" s="9" t="n">
        <v>9001494</v>
      </c>
      <c r="C217" s="9" t="s">
        <v>43</v>
      </c>
      <c r="D217" s="9" t="s">
        <v>132</v>
      </c>
      <c r="E217" s="9" t="s">
        <v>491</v>
      </c>
      <c r="F217" s="9" t="s">
        <v>731</v>
      </c>
      <c r="G217" s="9" t="s">
        <v>240</v>
      </c>
      <c r="H217" s="9" t="s">
        <v>323</v>
      </c>
      <c r="I217" s="9" t="n">
        <v>3</v>
      </c>
      <c r="J217" s="9" t="s">
        <v>293</v>
      </c>
      <c r="K217" s="9" t="s">
        <v>116</v>
      </c>
    </row>
    <row r="218" customFormat="false" ht="15" hidden="false" customHeight="false" outlineLevel="0" collapsed="false">
      <c r="A218" s="9" t="s">
        <v>732</v>
      </c>
      <c r="B218" s="9" t="n">
        <v>9001495</v>
      </c>
      <c r="C218" s="9" t="s">
        <v>43</v>
      </c>
      <c r="D218" s="9" t="s">
        <v>132</v>
      </c>
      <c r="E218" s="9" t="s">
        <v>491</v>
      </c>
      <c r="F218" s="9" t="s">
        <v>733</v>
      </c>
      <c r="G218" s="9" t="s">
        <v>240</v>
      </c>
      <c r="H218" s="9" t="s">
        <v>323</v>
      </c>
      <c r="I218" s="9" t="n">
        <v>3</v>
      </c>
      <c r="J218" s="9" t="s">
        <v>293</v>
      </c>
      <c r="K218" s="9" t="s">
        <v>116</v>
      </c>
    </row>
    <row r="219" customFormat="false" ht="15" hidden="false" customHeight="false" outlineLevel="0" collapsed="false">
      <c r="A219" s="9" t="s">
        <v>734</v>
      </c>
      <c r="B219" s="9" t="n">
        <v>9001497</v>
      </c>
      <c r="C219" s="9" t="s">
        <v>43</v>
      </c>
      <c r="D219" s="9" t="s">
        <v>132</v>
      </c>
      <c r="E219" s="9" t="s">
        <v>491</v>
      </c>
      <c r="F219" s="9" t="s">
        <v>735</v>
      </c>
      <c r="G219" s="9" t="s">
        <v>330</v>
      </c>
      <c r="H219" s="9" t="s">
        <v>331</v>
      </c>
      <c r="I219" s="9" t="n">
        <v>4</v>
      </c>
      <c r="J219" s="9" t="s">
        <v>293</v>
      </c>
      <c r="K219" s="9" t="s">
        <v>116</v>
      </c>
    </row>
    <row r="220" customFormat="false" ht="15" hidden="false" customHeight="false" outlineLevel="0" collapsed="false">
      <c r="A220" s="9" t="s">
        <v>736</v>
      </c>
      <c r="B220" s="9" t="n">
        <v>9001498</v>
      </c>
      <c r="C220" s="9" t="s">
        <v>43</v>
      </c>
      <c r="D220" s="9" t="s">
        <v>132</v>
      </c>
      <c r="E220" s="9" t="s">
        <v>491</v>
      </c>
      <c r="F220" s="9" t="s">
        <v>737</v>
      </c>
      <c r="G220" s="9" t="s">
        <v>330</v>
      </c>
      <c r="H220" s="9" t="s">
        <v>331</v>
      </c>
      <c r="I220" s="9" t="n">
        <v>4</v>
      </c>
      <c r="J220" s="9" t="s">
        <v>293</v>
      </c>
      <c r="K220" s="9" t="s">
        <v>116</v>
      </c>
    </row>
    <row r="221" customFormat="false" ht="15" hidden="false" customHeight="false" outlineLevel="0" collapsed="false">
      <c r="A221" s="9" t="s">
        <v>738</v>
      </c>
      <c r="B221" s="9" t="n">
        <v>9001501</v>
      </c>
      <c r="C221" s="9" t="s">
        <v>43</v>
      </c>
      <c r="D221" s="9" t="s">
        <v>132</v>
      </c>
      <c r="E221" s="9" t="s">
        <v>491</v>
      </c>
      <c r="F221" s="9" t="s">
        <v>692</v>
      </c>
      <c r="G221" s="9" t="s">
        <v>252</v>
      </c>
      <c r="H221" s="9" t="s">
        <v>365</v>
      </c>
      <c r="I221" s="9" t="n">
        <v>10</v>
      </c>
      <c r="J221" s="9" t="s">
        <v>293</v>
      </c>
      <c r="K221" s="9" t="s">
        <v>116</v>
      </c>
    </row>
    <row r="222" customFormat="false" ht="15" hidden="false" customHeight="false" outlineLevel="0" collapsed="false">
      <c r="A222" s="9" t="s">
        <v>739</v>
      </c>
      <c r="B222" s="9" t="n">
        <v>9001502</v>
      </c>
      <c r="C222" s="9" t="s">
        <v>43</v>
      </c>
      <c r="D222" s="9" t="s">
        <v>132</v>
      </c>
      <c r="E222" s="9" t="s">
        <v>491</v>
      </c>
      <c r="F222" s="9" t="s">
        <v>740</v>
      </c>
      <c r="G222" s="9" t="s">
        <v>252</v>
      </c>
      <c r="H222" s="9" t="s">
        <v>365</v>
      </c>
      <c r="I222" s="9" t="n">
        <v>10</v>
      </c>
      <c r="J222" s="9" t="s">
        <v>293</v>
      </c>
      <c r="K222" s="9" t="s">
        <v>116</v>
      </c>
    </row>
    <row r="223" customFormat="false" ht="15" hidden="false" customHeight="false" outlineLevel="0" collapsed="false">
      <c r="A223" s="9" t="s">
        <v>741</v>
      </c>
      <c r="B223" s="9" t="n">
        <v>9001503</v>
      </c>
      <c r="C223" s="9" t="s">
        <v>43</v>
      </c>
      <c r="D223" s="9" t="s">
        <v>132</v>
      </c>
      <c r="E223" s="9" t="s">
        <v>491</v>
      </c>
      <c r="F223" s="9" t="s">
        <v>742</v>
      </c>
      <c r="G223" s="9" t="s">
        <v>252</v>
      </c>
      <c r="H223" s="9" t="s">
        <v>365</v>
      </c>
      <c r="I223" s="9" t="n">
        <v>10</v>
      </c>
      <c r="J223" s="9" t="s">
        <v>293</v>
      </c>
      <c r="K223" s="9" t="s">
        <v>116</v>
      </c>
    </row>
    <row r="224" customFormat="false" ht="15" hidden="false" customHeight="false" outlineLevel="0" collapsed="false">
      <c r="A224" s="9" t="s">
        <v>743</v>
      </c>
      <c r="B224" s="9" t="n">
        <v>9001504</v>
      </c>
      <c r="C224" s="9" t="s">
        <v>43</v>
      </c>
      <c r="D224" s="9" t="s">
        <v>132</v>
      </c>
      <c r="E224" s="9" t="s">
        <v>491</v>
      </c>
      <c r="F224" s="9" t="s">
        <v>744</v>
      </c>
      <c r="G224" s="9" t="s">
        <v>376</v>
      </c>
      <c r="H224" s="9" t="s">
        <v>377</v>
      </c>
      <c r="I224" s="9" t="n">
        <v>11</v>
      </c>
      <c r="J224" s="9" t="s">
        <v>293</v>
      </c>
      <c r="K224" s="9" t="s">
        <v>116</v>
      </c>
    </row>
    <row r="225" customFormat="false" ht="15" hidden="false" customHeight="false" outlineLevel="0" collapsed="false">
      <c r="A225" s="9" t="s">
        <v>745</v>
      </c>
      <c r="B225" s="9" t="n">
        <v>9001505</v>
      </c>
      <c r="C225" s="9" t="s">
        <v>43</v>
      </c>
      <c r="D225" s="9" t="s">
        <v>132</v>
      </c>
      <c r="E225" s="9" t="s">
        <v>491</v>
      </c>
      <c r="F225" s="9" t="s">
        <v>746</v>
      </c>
      <c r="G225" s="9" t="s">
        <v>376</v>
      </c>
      <c r="H225" s="9" t="s">
        <v>377</v>
      </c>
      <c r="I225" s="9" t="n">
        <v>11</v>
      </c>
      <c r="J225" s="9" t="s">
        <v>293</v>
      </c>
      <c r="K225" s="9" t="s">
        <v>116</v>
      </c>
    </row>
    <row r="226" customFormat="false" ht="15" hidden="false" customHeight="false" outlineLevel="0" collapsed="false">
      <c r="A226" s="9" t="s">
        <v>747</v>
      </c>
      <c r="B226" s="9" t="n">
        <v>9001506</v>
      </c>
      <c r="C226" s="9" t="s">
        <v>43</v>
      </c>
      <c r="D226" s="9" t="s">
        <v>132</v>
      </c>
      <c r="E226" s="9" t="s">
        <v>491</v>
      </c>
      <c r="F226" s="9" t="s">
        <v>748</v>
      </c>
      <c r="G226" s="9" t="s">
        <v>376</v>
      </c>
      <c r="H226" s="9" t="s">
        <v>377</v>
      </c>
      <c r="I226" s="9" t="n">
        <v>11</v>
      </c>
      <c r="J226" s="9" t="s">
        <v>293</v>
      </c>
      <c r="K226" s="9" t="s">
        <v>116</v>
      </c>
    </row>
    <row r="227" customFormat="false" ht="15" hidden="false" customHeight="false" outlineLevel="0" collapsed="false">
      <c r="A227" s="9" t="s">
        <v>749</v>
      </c>
      <c r="B227" s="9" t="n">
        <v>9001507</v>
      </c>
      <c r="C227" s="9" t="s">
        <v>43</v>
      </c>
      <c r="D227" s="9" t="s">
        <v>132</v>
      </c>
      <c r="E227" s="9" t="s">
        <v>491</v>
      </c>
      <c r="F227" s="9" t="s">
        <v>750</v>
      </c>
      <c r="G227" s="9" t="s">
        <v>389</v>
      </c>
      <c r="H227" s="9" t="s">
        <v>390</v>
      </c>
      <c r="I227" s="9" t="n">
        <v>12</v>
      </c>
      <c r="J227" s="9" t="s">
        <v>293</v>
      </c>
      <c r="K227" s="9" t="s">
        <v>116</v>
      </c>
    </row>
    <row r="228" customFormat="false" ht="15" hidden="false" customHeight="false" outlineLevel="0" collapsed="false">
      <c r="A228" s="9" t="s">
        <v>751</v>
      </c>
      <c r="B228" s="9" t="n">
        <v>9001508</v>
      </c>
      <c r="C228" s="9" t="s">
        <v>43</v>
      </c>
      <c r="D228" s="9" t="s">
        <v>132</v>
      </c>
      <c r="E228" s="9" t="s">
        <v>491</v>
      </c>
      <c r="F228" s="9" t="s">
        <v>752</v>
      </c>
      <c r="G228" s="9" t="s">
        <v>389</v>
      </c>
      <c r="H228" s="9" t="s">
        <v>390</v>
      </c>
      <c r="I228" s="9" t="n">
        <v>12</v>
      </c>
      <c r="J228" s="9" t="s">
        <v>293</v>
      </c>
      <c r="K228" s="9" t="s">
        <v>116</v>
      </c>
    </row>
    <row r="229" customFormat="false" ht="15" hidden="false" customHeight="false" outlineLevel="0" collapsed="false">
      <c r="A229" s="9" t="s">
        <v>753</v>
      </c>
      <c r="B229" s="9" t="n">
        <v>9001509</v>
      </c>
      <c r="C229" s="9" t="s">
        <v>43</v>
      </c>
      <c r="D229" s="9" t="s">
        <v>132</v>
      </c>
      <c r="E229" s="9" t="s">
        <v>491</v>
      </c>
      <c r="F229" s="9" t="s">
        <v>754</v>
      </c>
      <c r="G229" s="9" t="s">
        <v>266</v>
      </c>
      <c r="H229" s="9" t="s">
        <v>403</v>
      </c>
      <c r="I229" s="9" t="n">
        <v>15</v>
      </c>
      <c r="J229" s="9" t="s">
        <v>293</v>
      </c>
      <c r="K229" s="9" t="s">
        <v>116</v>
      </c>
    </row>
    <row r="230" customFormat="false" ht="15" hidden="false" customHeight="false" outlineLevel="0" collapsed="false">
      <c r="A230" s="9" t="s">
        <v>755</v>
      </c>
      <c r="B230" s="9" t="n">
        <v>9001510</v>
      </c>
      <c r="C230" s="9" t="s">
        <v>44</v>
      </c>
      <c r="D230" s="9" t="s">
        <v>756</v>
      </c>
      <c r="E230" s="9" t="s">
        <v>757</v>
      </c>
      <c r="F230" s="9" t="s">
        <v>758</v>
      </c>
      <c r="G230" s="9" t="s">
        <v>759</v>
      </c>
      <c r="H230" s="9" t="s">
        <v>140</v>
      </c>
      <c r="I230" s="9" t="n">
        <v>-325</v>
      </c>
      <c r="J230" s="9" t="s">
        <v>137</v>
      </c>
      <c r="K230" s="9" t="s">
        <v>116</v>
      </c>
    </row>
    <row r="231" customFormat="false" ht="15" hidden="false" customHeight="false" outlineLevel="0" collapsed="false">
      <c r="A231" s="9" t="s">
        <v>760</v>
      </c>
      <c r="B231" s="9" t="n">
        <v>9001519</v>
      </c>
      <c r="C231" s="9" t="s">
        <v>44</v>
      </c>
      <c r="D231" s="9" t="s">
        <v>756</v>
      </c>
      <c r="E231" s="9" t="s">
        <v>757</v>
      </c>
      <c r="F231" s="9" t="s">
        <v>761</v>
      </c>
      <c r="G231" s="9" t="s">
        <v>148</v>
      </c>
      <c r="H231" s="9" t="s">
        <v>424</v>
      </c>
      <c r="I231" s="9" t="n">
        <v>-294</v>
      </c>
      <c r="J231" s="9" t="s">
        <v>137</v>
      </c>
      <c r="K231" s="9" t="s">
        <v>116</v>
      </c>
    </row>
    <row r="232" customFormat="false" ht="15" hidden="false" customHeight="false" outlineLevel="0" collapsed="false">
      <c r="A232" s="9" t="s">
        <v>762</v>
      </c>
      <c r="B232" s="9" t="n">
        <v>9001521</v>
      </c>
      <c r="C232" s="9" t="s">
        <v>44</v>
      </c>
      <c r="D232" s="9" t="s">
        <v>756</v>
      </c>
      <c r="E232" s="9" t="s">
        <v>757</v>
      </c>
      <c r="F232" s="9" t="s">
        <v>763</v>
      </c>
      <c r="G232" s="9" t="s">
        <v>148</v>
      </c>
      <c r="H232" s="9" t="s">
        <v>424</v>
      </c>
      <c r="I232" s="9" t="n">
        <v>-294</v>
      </c>
      <c r="J232" s="9" t="s">
        <v>137</v>
      </c>
      <c r="K232" s="9" t="s">
        <v>116</v>
      </c>
    </row>
    <row r="233" customFormat="false" ht="15" hidden="false" customHeight="false" outlineLevel="0" collapsed="false">
      <c r="A233" s="9" t="s">
        <v>764</v>
      </c>
      <c r="B233" s="9" t="n">
        <v>9001549</v>
      </c>
      <c r="C233" s="9" t="s">
        <v>44</v>
      </c>
      <c r="D233" s="9" t="s">
        <v>756</v>
      </c>
      <c r="E233" s="9" t="s">
        <v>757</v>
      </c>
      <c r="F233" s="9" t="s">
        <v>765</v>
      </c>
      <c r="G233" s="9" t="s">
        <v>766</v>
      </c>
      <c r="H233" s="9" t="s">
        <v>767</v>
      </c>
      <c r="I233" s="9" t="n">
        <v>-174</v>
      </c>
      <c r="J233" s="9" t="s">
        <v>137</v>
      </c>
      <c r="K233" s="9" t="s">
        <v>116</v>
      </c>
    </row>
    <row r="234" customFormat="false" ht="15" hidden="false" customHeight="false" outlineLevel="0" collapsed="false">
      <c r="A234" s="9" t="s">
        <v>768</v>
      </c>
      <c r="B234" s="9" t="n">
        <v>9001560</v>
      </c>
      <c r="C234" s="9" t="s">
        <v>44</v>
      </c>
      <c r="D234" s="9" t="s">
        <v>756</v>
      </c>
      <c r="E234" s="9" t="s">
        <v>757</v>
      </c>
      <c r="F234" s="9" t="s">
        <v>769</v>
      </c>
      <c r="G234" s="9" t="s">
        <v>766</v>
      </c>
      <c r="H234" s="9" t="s">
        <v>767</v>
      </c>
      <c r="I234" s="9" t="n">
        <v>-174</v>
      </c>
      <c r="J234" s="9" t="s">
        <v>137</v>
      </c>
      <c r="K234" s="9" t="s">
        <v>116</v>
      </c>
    </row>
    <row r="235" customFormat="false" ht="15" hidden="false" customHeight="false" outlineLevel="0" collapsed="false">
      <c r="A235" s="9" t="s">
        <v>770</v>
      </c>
      <c r="B235" s="9" t="n">
        <v>9001586</v>
      </c>
      <c r="C235" s="9" t="s">
        <v>44</v>
      </c>
      <c r="D235" s="9" t="s">
        <v>756</v>
      </c>
      <c r="E235" s="9" t="s">
        <v>757</v>
      </c>
      <c r="F235" s="9" t="s">
        <v>771</v>
      </c>
      <c r="G235" s="9" t="s">
        <v>766</v>
      </c>
      <c r="H235" s="9" t="s">
        <v>767</v>
      </c>
      <c r="I235" s="9" t="n">
        <v>-174</v>
      </c>
      <c r="J235" s="9" t="s">
        <v>137</v>
      </c>
      <c r="K235" s="9" t="s">
        <v>116</v>
      </c>
    </row>
    <row r="236" customFormat="false" ht="15" hidden="false" customHeight="false" outlineLevel="0" collapsed="false">
      <c r="A236" s="9" t="s">
        <v>772</v>
      </c>
      <c r="B236" s="9" t="n">
        <v>9001593</v>
      </c>
      <c r="C236" s="9" t="s">
        <v>44</v>
      </c>
      <c r="D236" s="9" t="s">
        <v>756</v>
      </c>
      <c r="E236" s="9" t="s">
        <v>757</v>
      </c>
      <c r="F236" s="9" t="s">
        <v>773</v>
      </c>
      <c r="G236" s="9" t="s">
        <v>766</v>
      </c>
      <c r="H236" s="9" t="s">
        <v>767</v>
      </c>
      <c r="I236" s="9" t="n">
        <v>-174</v>
      </c>
      <c r="J236" s="9" t="s">
        <v>137</v>
      </c>
      <c r="K236" s="9" t="s">
        <v>116</v>
      </c>
    </row>
    <row r="237" customFormat="false" ht="15" hidden="false" customHeight="false" outlineLevel="0" collapsed="false">
      <c r="A237" s="9" t="s">
        <v>774</v>
      </c>
      <c r="B237" s="9" t="n">
        <v>9001632</v>
      </c>
      <c r="C237" s="9" t="s">
        <v>44</v>
      </c>
      <c r="D237" s="9" t="s">
        <v>756</v>
      </c>
      <c r="E237" s="9" t="s">
        <v>757</v>
      </c>
      <c r="F237" s="9" t="s">
        <v>775</v>
      </c>
      <c r="G237" s="9" t="s">
        <v>702</v>
      </c>
      <c r="H237" s="9" t="s">
        <v>776</v>
      </c>
      <c r="I237" s="9" t="n">
        <v>-21</v>
      </c>
      <c r="J237" s="9" t="s">
        <v>137</v>
      </c>
      <c r="K237" s="9" t="s">
        <v>116</v>
      </c>
    </row>
    <row r="238" customFormat="false" ht="15" hidden="false" customHeight="false" outlineLevel="0" collapsed="false">
      <c r="A238" s="9" t="s">
        <v>777</v>
      </c>
      <c r="B238" s="9" t="n">
        <v>9001636</v>
      </c>
      <c r="C238" s="9" t="s">
        <v>44</v>
      </c>
      <c r="D238" s="9" t="s">
        <v>756</v>
      </c>
      <c r="E238" s="9" t="s">
        <v>757</v>
      </c>
      <c r="F238" s="9" t="s">
        <v>778</v>
      </c>
      <c r="G238" s="9" t="s">
        <v>702</v>
      </c>
      <c r="H238" s="9" t="s">
        <v>776</v>
      </c>
      <c r="I238" s="9" t="n">
        <v>-21</v>
      </c>
      <c r="J238" s="9" t="s">
        <v>137</v>
      </c>
      <c r="K238" s="9" t="s">
        <v>116</v>
      </c>
    </row>
    <row r="239" customFormat="false" ht="15" hidden="false" customHeight="false" outlineLevel="0" collapsed="false">
      <c r="A239" s="9" t="s">
        <v>779</v>
      </c>
      <c r="B239" s="9" t="n">
        <v>9001637</v>
      </c>
      <c r="C239" s="9" t="s">
        <v>44</v>
      </c>
      <c r="D239" s="9" t="s">
        <v>756</v>
      </c>
      <c r="E239" s="9" t="s">
        <v>757</v>
      </c>
      <c r="F239" s="9" t="s">
        <v>780</v>
      </c>
      <c r="G239" s="9" t="s">
        <v>266</v>
      </c>
      <c r="H239" s="9" t="s">
        <v>365</v>
      </c>
      <c r="I239" s="9" t="n">
        <v>10</v>
      </c>
      <c r="J239" s="9" t="s">
        <v>293</v>
      </c>
      <c r="K239" s="9" t="s">
        <v>116</v>
      </c>
    </row>
    <row r="240" customFormat="false" ht="15" hidden="false" customHeight="false" outlineLevel="0" collapsed="false">
      <c r="A240" s="9" t="s">
        <v>781</v>
      </c>
      <c r="B240" s="9" t="n">
        <v>9001638</v>
      </c>
      <c r="C240" s="9" t="s">
        <v>44</v>
      </c>
      <c r="D240" s="9" t="s">
        <v>756</v>
      </c>
      <c r="E240" s="9" t="s">
        <v>757</v>
      </c>
      <c r="F240" s="9" t="s">
        <v>782</v>
      </c>
      <c r="G240" s="9" t="s">
        <v>266</v>
      </c>
      <c r="H240" s="9" t="s">
        <v>365</v>
      </c>
      <c r="I240" s="9" t="n">
        <v>10</v>
      </c>
      <c r="J240" s="9" t="s">
        <v>293</v>
      </c>
      <c r="K240" s="9" t="s">
        <v>116</v>
      </c>
    </row>
    <row r="241" customFormat="false" ht="15" hidden="false" customHeight="false" outlineLevel="0" collapsed="false">
      <c r="A241" s="9" t="s">
        <v>783</v>
      </c>
      <c r="B241" s="9" t="n">
        <v>9001639</v>
      </c>
      <c r="C241" s="9" t="s">
        <v>44</v>
      </c>
      <c r="D241" s="9" t="s">
        <v>756</v>
      </c>
      <c r="E241" s="9" t="s">
        <v>757</v>
      </c>
      <c r="F241" s="9" t="s">
        <v>784</v>
      </c>
      <c r="G241" s="9" t="s">
        <v>266</v>
      </c>
      <c r="H241" s="9" t="s">
        <v>365</v>
      </c>
      <c r="I241" s="9" t="n">
        <v>10</v>
      </c>
      <c r="J241" s="9" t="s">
        <v>293</v>
      </c>
      <c r="K241" s="9" t="s">
        <v>116</v>
      </c>
    </row>
    <row r="242" customFormat="false" ht="15" hidden="false" customHeight="false" outlineLevel="0" collapsed="false">
      <c r="A242" s="9" t="s">
        <v>785</v>
      </c>
      <c r="B242" s="9" t="n">
        <v>9001665</v>
      </c>
      <c r="C242" s="9" t="s">
        <v>45</v>
      </c>
      <c r="D242" s="9" t="s">
        <v>756</v>
      </c>
      <c r="E242" s="9" t="s">
        <v>786</v>
      </c>
      <c r="F242" s="9" t="s">
        <v>787</v>
      </c>
      <c r="G242" s="9" t="s">
        <v>788</v>
      </c>
      <c r="H242" s="9" t="s">
        <v>789</v>
      </c>
      <c r="I242" s="9" t="n">
        <v>-273</v>
      </c>
      <c r="J242" s="9" t="s">
        <v>137</v>
      </c>
      <c r="K242" s="9" t="s">
        <v>116</v>
      </c>
    </row>
    <row r="243" customFormat="false" ht="15" hidden="false" customHeight="false" outlineLevel="0" collapsed="false">
      <c r="A243" s="9" t="s">
        <v>790</v>
      </c>
      <c r="B243" s="9" t="n">
        <v>9001668</v>
      </c>
      <c r="C243" s="9" t="s">
        <v>45</v>
      </c>
      <c r="D243" s="9" t="s">
        <v>756</v>
      </c>
      <c r="E243" s="9" t="s">
        <v>786</v>
      </c>
      <c r="F243" s="9" t="s">
        <v>791</v>
      </c>
      <c r="G243" s="9" t="s">
        <v>430</v>
      </c>
      <c r="H243" s="9" t="s">
        <v>792</v>
      </c>
      <c r="I243" s="9" t="n">
        <v>-271</v>
      </c>
      <c r="J243" s="9" t="s">
        <v>137</v>
      </c>
      <c r="K243" s="9" t="s">
        <v>116</v>
      </c>
    </row>
    <row r="244" customFormat="false" ht="15" hidden="false" customHeight="false" outlineLevel="0" collapsed="false">
      <c r="A244" s="9" t="s">
        <v>793</v>
      </c>
      <c r="B244" s="9" t="n">
        <v>9001673</v>
      </c>
      <c r="C244" s="9" t="s">
        <v>45</v>
      </c>
      <c r="D244" s="9" t="s">
        <v>756</v>
      </c>
      <c r="E244" s="9" t="s">
        <v>786</v>
      </c>
      <c r="F244" s="9" t="s">
        <v>794</v>
      </c>
      <c r="G244" s="9" t="s">
        <v>795</v>
      </c>
      <c r="H244" s="9" t="s">
        <v>796</v>
      </c>
      <c r="I244" s="9" t="n">
        <v>-239</v>
      </c>
      <c r="J244" s="9" t="s">
        <v>137</v>
      </c>
      <c r="K244" s="9" t="s">
        <v>116</v>
      </c>
    </row>
    <row r="245" customFormat="false" ht="15" hidden="false" customHeight="false" outlineLevel="0" collapsed="false">
      <c r="A245" s="9" t="s">
        <v>797</v>
      </c>
      <c r="B245" s="9" t="n">
        <v>9001684</v>
      </c>
      <c r="C245" s="9" t="s">
        <v>45</v>
      </c>
      <c r="D245" s="9" t="s">
        <v>756</v>
      </c>
      <c r="E245" s="9" t="s">
        <v>786</v>
      </c>
      <c r="F245" s="9" t="s">
        <v>787</v>
      </c>
      <c r="G245" s="9" t="s">
        <v>798</v>
      </c>
      <c r="H245" s="9" t="s">
        <v>610</v>
      </c>
      <c r="I245" s="9" t="n">
        <v>-213</v>
      </c>
      <c r="J245" s="9" t="s">
        <v>137</v>
      </c>
      <c r="K245" s="9" t="s">
        <v>116</v>
      </c>
    </row>
    <row r="246" customFormat="false" ht="15" hidden="false" customHeight="false" outlineLevel="0" collapsed="false">
      <c r="A246" s="9" t="s">
        <v>799</v>
      </c>
      <c r="B246" s="9" t="n">
        <v>9001688</v>
      </c>
      <c r="C246" s="9" t="s">
        <v>45</v>
      </c>
      <c r="D246" s="9" t="s">
        <v>756</v>
      </c>
      <c r="E246" s="9" t="s">
        <v>786</v>
      </c>
      <c r="F246" s="9" t="s">
        <v>787</v>
      </c>
      <c r="G246" s="9" t="s">
        <v>800</v>
      </c>
      <c r="H246" s="9" t="s">
        <v>801</v>
      </c>
      <c r="I246" s="9" t="n">
        <v>-180</v>
      </c>
      <c r="J246" s="9" t="s">
        <v>137</v>
      </c>
      <c r="K246" s="9" t="s">
        <v>116</v>
      </c>
    </row>
    <row r="247" customFormat="false" ht="15" hidden="false" customHeight="false" outlineLevel="0" collapsed="false">
      <c r="A247" s="9" t="s">
        <v>802</v>
      </c>
      <c r="B247" s="9" t="n">
        <v>9001691</v>
      </c>
      <c r="C247" s="9" t="s">
        <v>45</v>
      </c>
      <c r="D247" s="9" t="s">
        <v>756</v>
      </c>
      <c r="E247" s="9" t="s">
        <v>786</v>
      </c>
      <c r="F247" s="9" t="s">
        <v>803</v>
      </c>
      <c r="G247" s="9" t="s">
        <v>441</v>
      </c>
      <c r="H247" s="9" t="s">
        <v>624</v>
      </c>
      <c r="I247" s="9" t="n">
        <v>-177</v>
      </c>
      <c r="J247" s="9" t="s">
        <v>137</v>
      </c>
      <c r="K247" s="9" t="s">
        <v>116</v>
      </c>
    </row>
    <row r="248" customFormat="false" ht="15" hidden="false" customHeight="false" outlineLevel="0" collapsed="false">
      <c r="A248" s="9" t="s">
        <v>804</v>
      </c>
      <c r="B248" s="9" t="n">
        <v>9001696</v>
      </c>
      <c r="C248" s="9" t="s">
        <v>45</v>
      </c>
      <c r="D248" s="9" t="s">
        <v>756</v>
      </c>
      <c r="E248" s="9" t="s">
        <v>786</v>
      </c>
      <c r="F248" s="9" t="s">
        <v>791</v>
      </c>
      <c r="G248" s="9" t="s">
        <v>628</v>
      </c>
      <c r="H248" s="9" t="s">
        <v>646</v>
      </c>
      <c r="I248" s="9" t="n">
        <v>-151</v>
      </c>
      <c r="J248" s="9" t="s">
        <v>137</v>
      </c>
      <c r="K248" s="9" t="s">
        <v>116</v>
      </c>
    </row>
    <row r="249" customFormat="false" ht="15" hidden="false" customHeight="false" outlineLevel="0" collapsed="false">
      <c r="A249" s="9" t="s">
        <v>805</v>
      </c>
      <c r="B249" s="9" t="n">
        <v>9001754</v>
      </c>
      <c r="C249" s="9" t="s">
        <v>45</v>
      </c>
      <c r="D249" s="9" t="s">
        <v>756</v>
      </c>
      <c r="E249" s="9" t="s">
        <v>786</v>
      </c>
      <c r="F249" s="9" t="s">
        <v>787</v>
      </c>
      <c r="G249" s="9" t="s">
        <v>806</v>
      </c>
      <c r="H249" s="9" t="s">
        <v>482</v>
      </c>
      <c r="I249" s="9" t="n">
        <v>0</v>
      </c>
      <c r="J249" s="9" t="s">
        <v>293</v>
      </c>
      <c r="K249" s="9" t="s">
        <v>116</v>
      </c>
    </row>
    <row r="250" customFormat="false" ht="15" hidden="false" customHeight="false" outlineLevel="0" collapsed="false">
      <c r="A250" s="9" t="s">
        <v>807</v>
      </c>
      <c r="B250" s="9" t="n">
        <v>9001755</v>
      </c>
      <c r="C250" s="9" t="s">
        <v>45</v>
      </c>
      <c r="D250" s="9" t="s">
        <v>756</v>
      </c>
      <c r="E250" s="9" t="s">
        <v>786</v>
      </c>
      <c r="F250" s="9" t="s">
        <v>803</v>
      </c>
      <c r="G250" s="9" t="s">
        <v>330</v>
      </c>
      <c r="H250" s="9" t="s">
        <v>331</v>
      </c>
      <c r="I250" s="9" t="n">
        <v>4</v>
      </c>
      <c r="J250" s="9" t="s">
        <v>293</v>
      </c>
      <c r="K250" s="9" t="s">
        <v>116</v>
      </c>
    </row>
    <row r="251" customFormat="false" ht="15" hidden="false" customHeight="false" outlineLevel="0" collapsed="false">
      <c r="A251" s="9" t="s">
        <v>808</v>
      </c>
      <c r="B251" s="9" t="n">
        <v>9001756</v>
      </c>
      <c r="C251" s="9" t="s">
        <v>45</v>
      </c>
      <c r="D251" s="9" t="s">
        <v>756</v>
      </c>
      <c r="E251" s="9" t="s">
        <v>786</v>
      </c>
      <c r="F251" s="9" t="s">
        <v>787</v>
      </c>
      <c r="G251" s="9" t="s">
        <v>776</v>
      </c>
      <c r="H251" s="9" t="s">
        <v>479</v>
      </c>
      <c r="I251" s="9" t="n">
        <v>-1</v>
      </c>
      <c r="J251" s="9" t="s">
        <v>137</v>
      </c>
      <c r="K251" s="9" t="s">
        <v>116</v>
      </c>
    </row>
    <row r="252" customFormat="false" ht="15" hidden="false" customHeight="false" outlineLevel="0" collapsed="false">
      <c r="A252" s="9" t="s">
        <v>809</v>
      </c>
      <c r="B252" s="9" t="n">
        <v>9001757</v>
      </c>
      <c r="C252" s="9" t="s">
        <v>45</v>
      </c>
      <c r="D252" s="9" t="s">
        <v>756</v>
      </c>
      <c r="E252" s="9" t="s">
        <v>786</v>
      </c>
      <c r="F252" s="9" t="s">
        <v>787</v>
      </c>
      <c r="G252" s="9" t="s">
        <v>806</v>
      </c>
      <c r="H252" s="9" t="s">
        <v>482</v>
      </c>
      <c r="I252" s="9" t="n">
        <v>0</v>
      </c>
      <c r="J252" s="9" t="s">
        <v>293</v>
      </c>
      <c r="K252" s="9" t="s">
        <v>116</v>
      </c>
    </row>
    <row r="253" customFormat="false" ht="15" hidden="false" customHeight="false" outlineLevel="0" collapsed="false">
      <c r="A253" s="9" t="s">
        <v>810</v>
      </c>
      <c r="B253" s="9" t="n">
        <v>9001758</v>
      </c>
      <c r="C253" s="9" t="s">
        <v>45</v>
      </c>
      <c r="D253" s="9" t="s">
        <v>756</v>
      </c>
      <c r="E253" s="9" t="s">
        <v>786</v>
      </c>
      <c r="F253" s="9" t="s">
        <v>791</v>
      </c>
      <c r="G253" s="9" t="s">
        <v>234</v>
      </c>
      <c r="H253" s="9" t="s">
        <v>309</v>
      </c>
      <c r="I253" s="9" t="n">
        <v>2</v>
      </c>
      <c r="J253" s="9" t="s">
        <v>293</v>
      </c>
      <c r="K253" s="9" t="s">
        <v>116</v>
      </c>
    </row>
    <row r="254" customFormat="false" ht="15" hidden="false" customHeight="false" outlineLevel="0" collapsed="false">
      <c r="A254" s="9" t="s">
        <v>811</v>
      </c>
      <c r="B254" s="9" t="n">
        <v>9001760</v>
      </c>
      <c r="C254" s="9" t="s">
        <v>45</v>
      </c>
      <c r="D254" s="9" t="s">
        <v>756</v>
      </c>
      <c r="E254" s="9" t="s">
        <v>786</v>
      </c>
      <c r="F254" s="9" t="s">
        <v>787</v>
      </c>
      <c r="G254" s="9" t="s">
        <v>806</v>
      </c>
      <c r="H254" s="9" t="s">
        <v>482</v>
      </c>
      <c r="I254" s="9" t="n">
        <v>0</v>
      </c>
      <c r="J254" s="9" t="s">
        <v>293</v>
      </c>
      <c r="K254" s="9" t="s">
        <v>116</v>
      </c>
    </row>
    <row r="255" customFormat="false" ht="15" hidden="false" customHeight="false" outlineLevel="0" collapsed="false">
      <c r="A255" s="9" t="s">
        <v>812</v>
      </c>
      <c r="B255" s="9" t="n">
        <v>9001763</v>
      </c>
      <c r="C255" s="9" t="s">
        <v>45</v>
      </c>
      <c r="D255" s="9" t="s">
        <v>756</v>
      </c>
      <c r="E255" s="9" t="s">
        <v>786</v>
      </c>
      <c r="F255" s="9" t="s">
        <v>787</v>
      </c>
      <c r="G255" s="9" t="s">
        <v>291</v>
      </c>
      <c r="H255" s="9" t="s">
        <v>292</v>
      </c>
      <c r="I255" s="9" t="n">
        <v>1</v>
      </c>
      <c r="J255" s="9" t="s">
        <v>293</v>
      </c>
      <c r="K255" s="9" t="s">
        <v>116</v>
      </c>
    </row>
    <row r="256" customFormat="false" ht="15" hidden="false" customHeight="false" outlineLevel="0" collapsed="false">
      <c r="A256" s="9" t="s">
        <v>813</v>
      </c>
      <c r="B256" s="9" t="n">
        <v>9001766</v>
      </c>
      <c r="C256" s="9" t="s">
        <v>45</v>
      </c>
      <c r="D256" s="9" t="s">
        <v>756</v>
      </c>
      <c r="E256" s="9" t="s">
        <v>786</v>
      </c>
      <c r="F256" s="9" t="s">
        <v>787</v>
      </c>
      <c r="G256" s="9" t="s">
        <v>776</v>
      </c>
      <c r="H256" s="9" t="s">
        <v>479</v>
      </c>
      <c r="I256" s="9" t="n">
        <v>-1</v>
      </c>
      <c r="J256" s="9" t="s">
        <v>137</v>
      </c>
      <c r="K256" s="9" t="s">
        <v>116</v>
      </c>
    </row>
    <row r="257" customFormat="false" ht="15" hidden="false" customHeight="false" outlineLevel="0" collapsed="false">
      <c r="A257" s="9" t="s">
        <v>814</v>
      </c>
      <c r="B257" s="9" t="n">
        <v>9001767</v>
      </c>
      <c r="C257" s="9" t="s">
        <v>45</v>
      </c>
      <c r="D257" s="9" t="s">
        <v>756</v>
      </c>
      <c r="E257" s="9" t="s">
        <v>786</v>
      </c>
      <c r="F257" s="9" t="s">
        <v>791</v>
      </c>
      <c r="G257" s="9" t="s">
        <v>234</v>
      </c>
      <c r="H257" s="9" t="s">
        <v>309</v>
      </c>
      <c r="I257" s="9" t="n">
        <v>2</v>
      </c>
      <c r="J257" s="9" t="s">
        <v>293</v>
      </c>
      <c r="K257" s="9" t="s">
        <v>116</v>
      </c>
    </row>
    <row r="258" customFormat="false" ht="15" hidden="false" customHeight="false" outlineLevel="0" collapsed="false">
      <c r="A258" s="9" t="s">
        <v>815</v>
      </c>
      <c r="B258" s="9" t="n">
        <v>9001768</v>
      </c>
      <c r="C258" s="9" t="s">
        <v>45</v>
      </c>
      <c r="D258" s="9" t="s">
        <v>756</v>
      </c>
      <c r="E258" s="9" t="s">
        <v>786</v>
      </c>
      <c r="F258" s="9" t="s">
        <v>816</v>
      </c>
      <c r="G258" s="9" t="s">
        <v>390</v>
      </c>
      <c r="H258" s="9" t="s">
        <v>817</v>
      </c>
      <c r="I258" s="9" t="n">
        <v>32</v>
      </c>
      <c r="J258" s="9" t="s">
        <v>293</v>
      </c>
      <c r="K258" s="9" t="s">
        <v>116</v>
      </c>
    </row>
    <row r="259" customFormat="false" ht="15" hidden="false" customHeight="false" outlineLevel="0" collapsed="false">
      <c r="A259" s="9" t="s">
        <v>818</v>
      </c>
      <c r="B259" s="9" t="n">
        <v>9001769</v>
      </c>
      <c r="C259" s="9" t="s">
        <v>45</v>
      </c>
      <c r="D259" s="9" t="s">
        <v>756</v>
      </c>
      <c r="E259" s="9" t="s">
        <v>786</v>
      </c>
      <c r="F259" s="9" t="s">
        <v>794</v>
      </c>
      <c r="G259" s="9" t="s">
        <v>819</v>
      </c>
      <c r="H259" s="9" t="s">
        <v>820</v>
      </c>
      <c r="I259" s="9" t="n">
        <v>36</v>
      </c>
      <c r="J259" s="9" t="s">
        <v>293</v>
      </c>
      <c r="K259" s="9" t="s">
        <v>116</v>
      </c>
    </row>
    <row r="260" customFormat="false" ht="15" hidden="false" customHeight="false" outlineLevel="0" collapsed="false">
      <c r="A260" s="9" t="s">
        <v>821</v>
      </c>
      <c r="B260" s="9" t="n">
        <v>9001770</v>
      </c>
      <c r="C260" s="9" t="s">
        <v>45</v>
      </c>
      <c r="D260" s="9" t="s">
        <v>756</v>
      </c>
      <c r="E260" s="9" t="s">
        <v>786</v>
      </c>
      <c r="F260" s="9" t="s">
        <v>794</v>
      </c>
      <c r="G260" s="9" t="s">
        <v>819</v>
      </c>
      <c r="H260" s="9" t="s">
        <v>820</v>
      </c>
      <c r="I260" s="9" t="n">
        <v>36</v>
      </c>
      <c r="J260" s="9" t="s">
        <v>293</v>
      </c>
      <c r="K260" s="9" t="s">
        <v>116</v>
      </c>
    </row>
    <row r="261" customFormat="false" ht="15" hidden="false" customHeight="false" outlineLevel="0" collapsed="false">
      <c r="A261" s="9" t="s">
        <v>822</v>
      </c>
      <c r="B261" s="9" t="n">
        <v>9001771</v>
      </c>
      <c r="C261" s="9" t="s">
        <v>45</v>
      </c>
      <c r="D261" s="9" t="s">
        <v>756</v>
      </c>
      <c r="E261" s="9" t="s">
        <v>786</v>
      </c>
      <c r="F261" s="9" t="s">
        <v>787</v>
      </c>
      <c r="G261" s="9" t="s">
        <v>365</v>
      </c>
      <c r="H261" s="9" t="s">
        <v>823</v>
      </c>
      <c r="I261" s="9" t="n">
        <v>30</v>
      </c>
      <c r="J261" s="9" t="s">
        <v>293</v>
      </c>
      <c r="K261" s="9" t="s">
        <v>116</v>
      </c>
    </row>
    <row r="262" customFormat="false" ht="15" hidden="false" customHeight="false" outlineLevel="0" collapsed="false">
      <c r="A262" s="9" t="s">
        <v>824</v>
      </c>
      <c r="B262" s="9" t="n">
        <v>9001772</v>
      </c>
      <c r="C262" s="9" t="s">
        <v>45</v>
      </c>
      <c r="D262" s="9" t="s">
        <v>756</v>
      </c>
      <c r="E262" s="9" t="s">
        <v>786</v>
      </c>
      <c r="F262" s="9" t="s">
        <v>791</v>
      </c>
      <c r="G262" s="9" t="s">
        <v>377</v>
      </c>
      <c r="H262" s="9" t="s">
        <v>825</v>
      </c>
      <c r="I262" s="9" t="n">
        <v>31</v>
      </c>
      <c r="J262" s="9" t="s">
        <v>293</v>
      </c>
      <c r="K262" s="9" t="s">
        <v>116</v>
      </c>
    </row>
    <row r="263" customFormat="false" ht="15" hidden="false" customHeight="false" outlineLevel="0" collapsed="false">
      <c r="A263" s="9" t="s">
        <v>826</v>
      </c>
      <c r="B263" s="9" t="n">
        <v>9001773</v>
      </c>
      <c r="C263" s="9" t="s">
        <v>45</v>
      </c>
      <c r="D263" s="9" t="s">
        <v>756</v>
      </c>
      <c r="E263" s="9" t="s">
        <v>786</v>
      </c>
      <c r="F263" s="9" t="s">
        <v>794</v>
      </c>
      <c r="G263" s="9" t="s">
        <v>403</v>
      </c>
      <c r="H263" s="9" t="s">
        <v>827</v>
      </c>
      <c r="I263" s="9" t="n">
        <v>35</v>
      </c>
      <c r="J263" s="9" t="s">
        <v>293</v>
      </c>
      <c r="K263" s="9" t="s">
        <v>116</v>
      </c>
    </row>
    <row r="264" customFormat="false" ht="15" hidden="false" customHeight="false" outlineLevel="0" collapsed="false">
      <c r="A264" s="9" t="s">
        <v>828</v>
      </c>
      <c r="B264" s="9" t="n">
        <v>9001774</v>
      </c>
      <c r="C264" s="9" t="s">
        <v>45</v>
      </c>
      <c r="D264" s="9" t="s">
        <v>756</v>
      </c>
      <c r="E264" s="9" t="s">
        <v>786</v>
      </c>
      <c r="F264" s="9" t="s">
        <v>803</v>
      </c>
      <c r="G264" s="9" t="s">
        <v>829</v>
      </c>
      <c r="H264" s="9" t="s">
        <v>830</v>
      </c>
      <c r="I264" s="9" t="n">
        <v>33</v>
      </c>
      <c r="J264" s="9" t="s">
        <v>293</v>
      </c>
      <c r="K264" s="9" t="s">
        <v>116</v>
      </c>
    </row>
    <row r="265" customFormat="false" ht="15" hidden="false" customHeight="false" outlineLevel="0" collapsed="false">
      <c r="A265" s="9" t="s">
        <v>831</v>
      </c>
      <c r="B265" s="9" t="n">
        <v>9001775</v>
      </c>
      <c r="C265" s="9" t="s">
        <v>45</v>
      </c>
      <c r="D265" s="9" t="s">
        <v>756</v>
      </c>
      <c r="E265" s="9" t="s">
        <v>786</v>
      </c>
      <c r="F265" s="9" t="s">
        <v>803</v>
      </c>
      <c r="G265" s="9" t="s">
        <v>829</v>
      </c>
      <c r="H265" s="9" t="s">
        <v>830</v>
      </c>
      <c r="I265" s="9" t="n">
        <v>33</v>
      </c>
      <c r="J265" s="9" t="s">
        <v>293</v>
      </c>
      <c r="K265" s="9" t="s">
        <v>116</v>
      </c>
    </row>
    <row r="266" customFormat="false" ht="15" hidden="false" customHeight="false" outlineLevel="0" collapsed="false">
      <c r="A266" s="9" t="s">
        <v>832</v>
      </c>
      <c r="B266" s="9" t="n">
        <v>9001776</v>
      </c>
      <c r="C266" s="9" t="s">
        <v>45</v>
      </c>
      <c r="D266" s="9" t="s">
        <v>756</v>
      </c>
      <c r="E266" s="9" t="s">
        <v>786</v>
      </c>
      <c r="F266" s="9" t="s">
        <v>791</v>
      </c>
      <c r="G266" s="9" t="s">
        <v>377</v>
      </c>
      <c r="H266" s="9" t="s">
        <v>825</v>
      </c>
      <c r="I266" s="9" t="n">
        <v>31</v>
      </c>
      <c r="J266" s="9" t="s">
        <v>293</v>
      </c>
      <c r="K266" s="9" t="s">
        <v>116</v>
      </c>
    </row>
    <row r="267" customFormat="false" ht="15" hidden="false" customHeight="false" outlineLevel="0" collapsed="false">
      <c r="A267" s="9" t="s">
        <v>833</v>
      </c>
      <c r="B267" s="9" t="n">
        <v>9001777</v>
      </c>
      <c r="C267" s="9" t="s">
        <v>45</v>
      </c>
      <c r="D267" s="9" t="s">
        <v>756</v>
      </c>
      <c r="E267" s="9" t="s">
        <v>786</v>
      </c>
      <c r="F267" s="9" t="s">
        <v>791</v>
      </c>
      <c r="G267" s="9" t="s">
        <v>377</v>
      </c>
      <c r="H267" s="9" t="s">
        <v>825</v>
      </c>
      <c r="I267" s="9" t="n">
        <v>31</v>
      </c>
      <c r="J267" s="9" t="s">
        <v>293</v>
      </c>
      <c r="K267" s="9" t="s">
        <v>116</v>
      </c>
    </row>
    <row r="268" customFormat="false" ht="15" hidden="false" customHeight="false" outlineLevel="0" collapsed="false">
      <c r="A268" s="9" t="s">
        <v>834</v>
      </c>
      <c r="B268" s="9" t="n">
        <v>9001778</v>
      </c>
      <c r="C268" s="9" t="s">
        <v>45</v>
      </c>
      <c r="D268" s="9" t="s">
        <v>756</v>
      </c>
      <c r="E268" s="9" t="s">
        <v>786</v>
      </c>
      <c r="F268" s="9" t="s">
        <v>787</v>
      </c>
      <c r="G268" s="9" t="s">
        <v>365</v>
      </c>
      <c r="H268" s="9" t="s">
        <v>823</v>
      </c>
      <c r="I268" s="9" t="n">
        <v>30</v>
      </c>
      <c r="J268" s="9" t="s">
        <v>293</v>
      </c>
      <c r="K268" s="9" t="s">
        <v>116</v>
      </c>
    </row>
    <row r="269" customFormat="false" ht="15" hidden="false" customHeight="false" outlineLevel="0" collapsed="false">
      <c r="A269" s="9" t="s">
        <v>835</v>
      </c>
      <c r="B269" s="9" t="n">
        <v>9001779</v>
      </c>
      <c r="C269" s="9" t="s">
        <v>45</v>
      </c>
      <c r="D269" s="9" t="s">
        <v>756</v>
      </c>
      <c r="E269" s="9" t="s">
        <v>786</v>
      </c>
      <c r="F269" s="9" t="s">
        <v>794</v>
      </c>
      <c r="G269" s="9" t="s">
        <v>836</v>
      </c>
      <c r="H269" s="9" t="s">
        <v>837</v>
      </c>
      <c r="I269" s="9" t="n">
        <v>34</v>
      </c>
      <c r="J269" s="9" t="s">
        <v>293</v>
      </c>
      <c r="K269" s="9" t="s">
        <v>116</v>
      </c>
    </row>
    <row r="270" customFormat="false" ht="15" hidden="false" customHeight="false" outlineLevel="0" collapsed="false">
      <c r="A270" s="9" t="s">
        <v>838</v>
      </c>
      <c r="B270" s="9" t="n">
        <v>9001788</v>
      </c>
      <c r="C270" s="9" t="s">
        <v>46</v>
      </c>
      <c r="D270" s="9" t="s">
        <v>839</v>
      </c>
      <c r="E270" s="9" t="s">
        <v>840</v>
      </c>
      <c r="F270" s="9" t="s">
        <v>841</v>
      </c>
      <c r="G270" s="9" t="s">
        <v>842</v>
      </c>
      <c r="H270" s="9" t="s">
        <v>542</v>
      </c>
      <c r="I270" s="9" t="n">
        <v>-292</v>
      </c>
      <c r="J270" s="9" t="s">
        <v>137</v>
      </c>
      <c r="K270" s="9" t="s">
        <v>116</v>
      </c>
    </row>
    <row r="271" customFormat="false" ht="15" hidden="false" customHeight="false" outlineLevel="0" collapsed="false">
      <c r="A271" s="9" t="s">
        <v>843</v>
      </c>
      <c r="B271" s="9" t="n">
        <v>9001794</v>
      </c>
      <c r="C271" s="9" t="s">
        <v>46</v>
      </c>
      <c r="D271" s="9" t="s">
        <v>839</v>
      </c>
      <c r="E271" s="9" t="s">
        <v>844</v>
      </c>
      <c r="F271" s="9" t="s">
        <v>845</v>
      </c>
      <c r="G271" s="9" t="s">
        <v>553</v>
      </c>
      <c r="H271" s="9" t="s">
        <v>580</v>
      </c>
      <c r="I271" s="9" t="n">
        <v>-248</v>
      </c>
      <c r="J271" s="9" t="s">
        <v>137</v>
      </c>
      <c r="K271" s="9" t="s">
        <v>118</v>
      </c>
    </row>
    <row r="272" customFormat="false" ht="15" hidden="false" customHeight="false" outlineLevel="0" collapsed="false">
      <c r="A272" s="9" t="s">
        <v>846</v>
      </c>
      <c r="B272" s="9" t="n">
        <v>9001803</v>
      </c>
      <c r="C272" s="9" t="s">
        <v>46</v>
      </c>
      <c r="D272" s="9" t="s">
        <v>839</v>
      </c>
      <c r="E272" s="9" t="s">
        <v>844</v>
      </c>
      <c r="F272" s="9" t="s">
        <v>847</v>
      </c>
      <c r="G272" s="9" t="s">
        <v>610</v>
      </c>
      <c r="H272" s="9" t="s">
        <v>848</v>
      </c>
      <c r="I272" s="9" t="n">
        <v>-183</v>
      </c>
      <c r="J272" s="9" t="s">
        <v>137</v>
      </c>
      <c r="K272" s="9" t="s">
        <v>118</v>
      </c>
    </row>
    <row r="273" customFormat="false" ht="15" hidden="false" customHeight="false" outlineLevel="0" collapsed="false">
      <c r="A273" s="9" t="s">
        <v>849</v>
      </c>
      <c r="B273" s="9" t="n">
        <v>9001836</v>
      </c>
      <c r="C273" s="9" t="s">
        <v>46</v>
      </c>
      <c r="D273" s="9" t="s">
        <v>839</v>
      </c>
      <c r="E273" s="9" t="s">
        <v>844</v>
      </c>
      <c r="F273" s="9" t="s">
        <v>850</v>
      </c>
      <c r="G273" s="9" t="s">
        <v>851</v>
      </c>
      <c r="H273" s="9" t="s">
        <v>686</v>
      </c>
      <c r="I273" s="9" t="n">
        <v>-67</v>
      </c>
      <c r="J273" s="9" t="s">
        <v>137</v>
      </c>
      <c r="K273" s="9" t="s">
        <v>118</v>
      </c>
    </row>
    <row r="274" customFormat="false" ht="15" hidden="false" customHeight="false" outlineLevel="0" collapsed="false">
      <c r="A274" s="9" t="s">
        <v>852</v>
      </c>
      <c r="B274" s="9" t="n">
        <v>9001861</v>
      </c>
      <c r="C274" s="9" t="s">
        <v>46</v>
      </c>
      <c r="D274" s="9" t="s">
        <v>839</v>
      </c>
      <c r="E274" s="9" t="s">
        <v>844</v>
      </c>
      <c r="F274" s="9" t="s">
        <v>853</v>
      </c>
      <c r="G274" s="9" t="s">
        <v>472</v>
      </c>
      <c r="H274" s="9" t="s">
        <v>854</v>
      </c>
      <c r="I274" s="9" t="n">
        <v>-34</v>
      </c>
      <c r="J274" s="9" t="s">
        <v>137</v>
      </c>
      <c r="K274" s="9" t="s">
        <v>118</v>
      </c>
    </row>
    <row r="275" customFormat="false" ht="15" hidden="false" customHeight="false" outlineLevel="0" collapsed="false">
      <c r="A275" s="9" t="s">
        <v>855</v>
      </c>
      <c r="B275" s="9" t="n">
        <v>9001865</v>
      </c>
      <c r="C275" s="9" t="s">
        <v>46</v>
      </c>
      <c r="D275" s="9" t="s">
        <v>839</v>
      </c>
      <c r="E275" s="9" t="s">
        <v>844</v>
      </c>
      <c r="F275" s="9" t="s">
        <v>856</v>
      </c>
      <c r="G275" s="9" t="s">
        <v>243</v>
      </c>
      <c r="H275" s="9" t="s">
        <v>278</v>
      </c>
      <c r="I275" s="9" t="n">
        <v>-3</v>
      </c>
      <c r="J275" s="9" t="s">
        <v>137</v>
      </c>
      <c r="K275" s="9" t="s">
        <v>118</v>
      </c>
    </row>
    <row r="276" customFormat="false" ht="15" hidden="false" customHeight="false" outlineLevel="0" collapsed="false">
      <c r="A276" s="9" t="s">
        <v>857</v>
      </c>
      <c r="B276" s="9" t="n">
        <v>9001866</v>
      </c>
      <c r="C276" s="9" t="s">
        <v>46</v>
      </c>
      <c r="D276" s="9" t="s">
        <v>839</v>
      </c>
      <c r="E276" s="9" t="s">
        <v>844</v>
      </c>
      <c r="F276" s="9" t="s">
        <v>858</v>
      </c>
      <c r="G276" s="9" t="s">
        <v>243</v>
      </c>
      <c r="H276" s="9" t="s">
        <v>278</v>
      </c>
      <c r="I276" s="9" t="n">
        <v>-3</v>
      </c>
      <c r="J276" s="9" t="s">
        <v>137</v>
      </c>
      <c r="K276" s="9" t="s">
        <v>118</v>
      </c>
    </row>
    <row r="277" customFormat="false" ht="15" hidden="false" customHeight="false" outlineLevel="0" collapsed="false">
      <c r="A277" s="9" t="s">
        <v>859</v>
      </c>
      <c r="B277" s="9" t="n">
        <v>9001867</v>
      </c>
      <c r="C277" s="9" t="s">
        <v>46</v>
      </c>
      <c r="D277" s="9" t="s">
        <v>839</v>
      </c>
      <c r="E277" s="9" t="s">
        <v>844</v>
      </c>
      <c r="F277" s="9" t="s">
        <v>860</v>
      </c>
      <c r="G277" s="9" t="s">
        <v>861</v>
      </c>
      <c r="H277" s="9" t="s">
        <v>266</v>
      </c>
      <c r="I277" s="9" t="n">
        <v>-5</v>
      </c>
      <c r="J277" s="9" t="s">
        <v>137</v>
      </c>
      <c r="K277" s="9" t="s">
        <v>118</v>
      </c>
    </row>
    <row r="278" customFormat="false" ht="15" hidden="false" customHeight="false" outlineLevel="0" collapsed="false">
      <c r="A278" s="9" t="s">
        <v>862</v>
      </c>
      <c r="B278" s="9" t="n">
        <v>9001868</v>
      </c>
      <c r="C278" s="9" t="s">
        <v>46</v>
      </c>
      <c r="D278" s="9" t="s">
        <v>839</v>
      </c>
      <c r="E278" s="9" t="s">
        <v>844</v>
      </c>
      <c r="F278" s="9" t="s">
        <v>863</v>
      </c>
      <c r="G278" s="9" t="s">
        <v>861</v>
      </c>
      <c r="H278" s="9" t="s">
        <v>266</v>
      </c>
      <c r="I278" s="9" t="n">
        <v>-5</v>
      </c>
      <c r="J278" s="9" t="s">
        <v>137</v>
      </c>
      <c r="K278" s="9" t="s">
        <v>118</v>
      </c>
    </row>
    <row r="279" customFormat="false" ht="15" hidden="false" customHeight="false" outlineLevel="0" collapsed="false">
      <c r="A279" s="9" t="s">
        <v>864</v>
      </c>
      <c r="B279" s="9" t="n">
        <v>9001869</v>
      </c>
      <c r="C279" s="9" t="s">
        <v>46</v>
      </c>
      <c r="D279" s="9" t="s">
        <v>839</v>
      </c>
      <c r="E279" s="9" t="s">
        <v>844</v>
      </c>
      <c r="F279" s="9" t="s">
        <v>865</v>
      </c>
      <c r="G279" s="9" t="s">
        <v>702</v>
      </c>
      <c r="H279" s="9" t="s">
        <v>259</v>
      </c>
      <c r="I279" s="9" t="n">
        <v>-6</v>
      </c>
      <c r="J279" s="9" t="s">
        <v>137</v>
      </c>
      <c r="K279" s="9" t="s">
        <v>118</v>
      </c>
    </row>
    <row r="280" customFormat="false" ht="15" hidden="false" customHeight="false" outlineLevel="0" collapsed="false">
      <c r="A280" s="9" t="s">
        <v>866</v>
      </c>
      <c r="B280" s="9" t="n">
        <v>9001870</v>
      </c>
      <c r="C280" s="9" t="s">
        <v>46</v>
      </c>
      <c r="D280" s="9" t="s">
        <v>839</v>
      </c>
      <c r="E280" s="9" t="s">
        <v>844</v>
      </c>
      <c r="F280" s="9" t="s">
        <v>867</v>
      </c>
      <c r="G280" s="9" t="s">
        <v>707</v>
      </c>
      <c r="H280" s="9" t="s">
        <v>286</v>
      </c>
      <c r="I280" s="9" t="n">
        <v>-2</v>
      </c>
      <c r="J280" s="9" t="s">
        <v>137</v>
      </c>
      <c r="K280" s="9" t="s">
        <v>118</v>
      </c>
    </row>
    <row r="281" customFormat="false" ht="15" hidden="false" customHeight="false" outlineLevel="0" collapsed="false">
      <c r="A281" s="9" t="s">
        <v>868</v>
      </c>
      <c r="B281" s="9" t="n">
        <v>9001876</v>
      </c>
      <c r="C281" s="9" t="s">
        <v>46</v>
      </c>
      <c r="D281" s="9" t="s">
        <v>839</v>
      </c>
      <c r="E281" s="9" t="s">
        <v>844</v>
      </c>
      <c r="F281" s="9" t="s">
        <v>853</v>
      </c>
      <c r="G281" s="9" t="s">
        <v>243</v>
      </c>
      <c r="H281" s="9" t="s">
        <v>278</v>
      </c>
      <c r="I281" s="9" t="n">
        <v>-3</v>
      </c>
      <c r="J281" s="9" t="s">
        <v>137</v>
      </c>
      <c r="K281" s="9" t="s">
        <v>118</v>
      </c>
    </row>
    <row r="282" customFormat="false" ht="15" hidden="false" customHeight="false" outlineLevel="0" collapsed="false">
      <c r="A282" s="9" t="s">
        <v>869</v>
      </c>
      <c r="B282" s="9" t="n">
        <v>9001877</v>
      </c>
      <c r="C282" s="9" t="s">
        <v>46</v>
      </c>
      <c r="D282" s="9" t="s">
        <v>839</v>
      </c>
      <c r="E282" s="9" t="s">
        <v>844</v>
      </c>
      <c r="F282" s="9" t="s">
        <v>870</v>
      </c>
      <c r="G282" s="9" t="s">
        <v>707</v>
      </c>
      <c r="H282" s="9" t="s">
        <v>286</v>
      </c>
      <c r="I282" s="9" t="n">
        <v>-2</v>
      </c>
      <c r="J282" s="9" t="s">
        <v>137</v>
      </c>
      <c r="K282" s="9" t="s">
        <v>118</v>
      </c>
    </row>
    <row r="283" customFormat="false" ht="15" hidden="false" customHeight="false" outlineLevel="0" collapsed="false">
      <c r="A283" s="9" t="s">
        <v>871</v>
      </c>
      <c r="B283" s="9" t="n">
        <v>9001880</v>
      </c>
      <c r="C283" s="9" t="s">
        <v>46</v>
      </c>
      <c r="D283" s="9" t="s">
        <v>839</v>
      </c>
      <c r="E283" s="9" t="s">
        <v>844</v>
      </c>
      <c r="F283" s="9" t="s">
        <v>872</v>
      </c>
      <c r="G283" s="9" t="s">
        <v>707</v>
      </c>
      <c r="H283" s="9" t="s">
        <v>286</v>
      </c>
      <c r="I283" s="9" t="n">
        <v>-2</v>
      </c>
      <c r="J283" s="9" t="s">
        <v>137</v>
      </c>
      <c r="K283" s="9" t="s">
        <v>118</v>
      </c>
    </row>
    <row r="284" customFormat="false" ht="15" hidden="false" customHeight="false" outlineLevel="0" collapsed="false">
      <c r="A284" s="9" t="s">
        <v>873</v>
      </c>
      <c r="B284" s="9" t="n">
        <v>9001882</v>
      </c>
      <c r="C284" s="9" t="s">
        <v>46</v>
      </c>
      <c r="D284" s="9" t="s">
        <v>839</v>
      </c>
      <c r="E284" s="9" t="s">
        <v>844</v>
      </c>
      <c r="F284" s="9" t="s">
        <v>874</v>
      </c>
      <c r="G284" s="9" t="s">
        <v>854</v>
      </c>
      <c r="H284" s="9" t="s">
        <v>274</v>
      </c>
      <c r="I284" s="9" t="n">
        <v>-4</v>
      </c>
      <c r="J284" s="9" t="s">
        <v>137</v>
      </c>
      <c r="K284" s="9" t="s">
        <v>118</v>
      </c>
    </row>
    <row r="285" customFormat="false" ht="15" hidden="false" customHeight="false" outlineLevel="0" collapsed="false">
      <c r="A285" s="9" t="s">
        <v>875</v>
      </c>
      <c r="B285" s="9" t="n">
        <v>9001887</v>
      </c>
      <c r="C285" s="9" t="s">
        <v>46</v>
      </c>
      <c r="D285" s="9" t="s">
        <v>839</v>
      </c>
      <c r="E285" s="9" t="s">
        <v>844</v>
      </c>
      <c r="F285" s="9" t="s">
        <v>876</v>
      </c>
      <c r="G285" s="9" t="s">
        <v>707</v>
      </c>
      <c r="H285" s="9" t="s">
        <v>286</v>
      </c>
      <c r="I285" s="9" t="n">
        <v>-2</v>
      </c>
      <c r="J285" s="9" t="s">
        <v>137</v>
      </c>
      <c r="K285" s="9" t="s">
        <v>118</v>
      </c>
    </row>
    <row r="286" customFormat="false" ht="15" hidden="false" customHeight="false" outlineLevel="0" collapsed="false">
      <c r="A286" s="9" t="s">
        <v>877</v>
      </c>
      <c r="B286" s="9" t="n">
        <v>9001889</v>
      </c>
      <c r="C286" s="9" t="s">
        <v>46</v>
      </c>
      <c r="D286" s="9" t="s">
        <v>839</v>
      </c>
      <c r="E286" s="9" t="s">
        <v>844</v>
      </c>
      <c r="F286" s="9" t="s">
        <v>870</v>
      </c>
      <c r="G286" s="9" t="s">
        <v>479</v>
      </c>
      <c r="H286" s="9" t="s">
        <v>878</v>
      </c>
      <c r="I286" s="9" t="n">
        <v>29</v>
      </c>
      <c r="J286" s="9" t="s">
        <v>293</v>
      </c>
      <c r="K286" s="9" t="s">
        <v>118</v>
      </c>
    </row>
    <row r="287" customFormat="false" ht="15" hidden="false" customHeight="false" outlineLevel="0" collapsed="false">
      <c r="A287" s="9" t="s">
        <v>879</v>
      </c>
      <c r="B287" s="9" t="n">
        <v>9001890</v>
      </c>
      <c r="C287" s="9" t="s">
        <v>46</v>
      </c>
      <c r="D287" s="9" t="s">
        <v>839</v>
      </c>
      <c r="E287" s="9" t="s">
        <v>844</v>
      </c>
      <c r="F287" s="9" t="s">
        <v>847</v>
      </c>
      <c r="G287" s="9" t="s">
        <v>479</v>
      </c>
      <c r="H287" s="9" t="s">
        <v>878</v>
      </c>
      <c r="I287" s="9" t="n">
        <v>29</v>
      </c>
      <c r="J287" s="9" t="s">
        <v>293</v>
      </c>
      <c r="K287" s="9" t="s">
        <v>118</v>
      </c>
    </row>
    <row r="288" customFormat="false" ht="15" hidden="false" customHeight="false" outlineLevel="0" collapsed="false">
      <c r="A288" s="9" t="s">
        <v>880</v>
      </c>
      <c r="B288" s="9" t="n">
        <v>9001891</v>
      </c>
      <c r="C288" s="9" t="s">
        <v>46</v>
      </c>
      <c r="D288" s="9" t="s">
        <v>839</v>
      </c>
      <c r="E288" s="9" t="s">
        <v>844</v>
      </c>
      <c r="F288" s="9" t="s">
        <v>860</v>
      </c>
      <c r="G288" s="9" t="s">
        <v>274</v>
      </c>
      <c r="H288" s="9" t="s">
        <v>881</v>
      </c>
      <c r="I288" s="9" t="n">
        <v>26</v>
      </c>
      <c r="J288" s="9" t="s">
        <v>293</v>
      </c>
      <c r="K288" s="9" t="s">
        <v>118</v>
      </c>
    </row>
    <row r="289" customFormat="false" ht="15" hidden="false" customHeight="false" outlineLevel="0" collapsed="false">
      <c r="A289" s="9" t="s">
        <v>882</v>
      </c>
      <c r="B289" s="9" t="n">
        <v>9001892</v>
      </c>
      <c r="C289" s="9" t="s">
        <v>46</v>
      </c>
      <c r="D289" s="9" t="s">
        <v>839</v>
      </c>
      <c r="E289" s="9" t="s">
        <v>844</v>
      </c>
      <c r="F289" s="9" t="s">
        <v>870</v>
      </c>
      <c r="G289" s="9" t="s">
        <v>278</v>
      </c>
      <c r="H289" s="9" t="s">
        <v>883</v>
      </c>
      <c r="I289" s="9" t="n">
        <v>27</v>
      </c>
      <c r="J289" s="9" t="s">
        <v>293</v>
      </c>
      <c r="K289" s="9" t="s">
        <v>118</v>
      </c>
    </row>
    <row r="290" customFormat="false" ht="15" hidden="false" customHeight="false" outlineLevel="0" collapsed="false">
      <c r="A290" s="9" t="s">
        <v>884</v>
      </c>
      <c r="B290" s="9" t="n">
        <v>9001893</v>
      </c>
      <c r="C290" s="9" t="s">
        <v>46</v>
      </c>
      <c r="D290" s="9" t="s">
        <v>839</v>
      </c>
      <c r="E290" s="9" t="s">
        <v>844</v>
      </c>
      <c r="F290" s="9" t="s">
        <v>885</v>
      </c>
      <c r="G290" s="9" t="s">
        <v>286</v>
      </c>
      <c r="H290" s="9" t="s">
        <v>886</v>
      </c>
      <c r="I290" s="9" t="n">
        <v>28</v>
      </c>
      <c r="J290" s="9" t="s">
        <v>293</v>
      </c>
      <c r="K290" s="9" t="s">
        <v>118</v>
      </c>
    </row>
    <row r="291" customFormat="false" ht="15" hidden="false" customHeight="false" outlineLevel="0" collapsed="false">
      <c r="A291" s="9" t="s">
        <v>887</v>
      </c>
      <c r="B291" s="9" t="n">
        <v>9001894</v>
      </c>
      <c r="C291" s="9" t="s">
        <v>46</v>
      </c>
      <c r="D291" s="9" t="s">
        <v>839</v>
      </c>
      <c r="E291" s="9" t="s">
        <v>844</v>
      </c>
      <c r="F291" s="9" t="s">
        <v>888</v>
      </c>
      <c r="G291" s="9" t="s">
        <v>479</v>
      </c>
      <c r="H291" s="9" t="s">
        <v>878</v>
      </c>
      <c r="I291" s="9" t="n">
        <v>29</v>
      </c>
      <c r="J291" s="9" t="s">
        <v>293</v>
      </c>
      <c r="K291" s="9" t="s">
        <v>118</v>
      </c>
    </row>
    <row r="292" customFormat="false" ht="15" hidden="false" customHeight="false" outlineLevel="0" collapsed="false">
      <c r="A292" s="9" t="s">
        <v>889</v>
      </c>
      <c r="B292" s="9" t="n">
        <v>9001895</v>
      </c>
      <c r="C292" s="9" t="s">
        <v>46</v>
      </c>
      <c r="D292" s="9" t="s">
        <v>839</v>
      </c>
      <c r="E292" s="9" t="s">
        <v>844</v>
      </c>
      <c r="F292" s="9" t="s">
        <v>890</v>
      </c>
      <c r="G292" s="9" t="s">
        <v>286</v>
      </c>
      <c r="H292" s="9" t="s">
        <v>886</v>
      </c>
      <c r="I292" s="9" t="n">
        <v>28</v>
      </c>
      <c r="J292" s="9" t="s">
        <v>293</v>
      </c>
      <c r="K292" s="9" t="s">
        <v>118</v>
      </c>
    </row>
    <row r="293" customFormat="false" ht="15" hidden="false" customHeight="false" outlineLevel="0" collapsed="false">
      <c r="A293" s="9" t="s">
        <v>891</v>
      </c>
      <c r="B293" s="9" t="n">
        <v>9001896</v>
      </c>
      <c r="C293" s="9" t="s">
        <v>46</v>
      </c>
      <c r="D293" s="9" t="s">
        <v>839</v>
      </c>
      <c r="E293" s="9" t="s">
        <v>844</v>
      </c>
      <c r="F293" s="9" t="s">
        <v>867</v>
      </c>
      <c r="G293" s="9" t="s">
        <v>278</v>
      </c>
      <c r="H293" s="9" t="s">
        <v>883</v>
      </c>
      <c r="I293" s="9" t="n">
        <v>27</v>
      </c>
      <c r="J293" s="9" t="s">
        <v>293</v>
      </c>
      <c r="K293" s="9" t="s">
        <v>118</v>
      </c>
    </row>
    <row r="294" customFormat="false" ht="15" hidden="false" customHeight="false" outlineLevel="0" collapsed="false">
      <c r="A294" s="9" t="s">
        <v>892</v>
      </c>
      <c r="B294" s="9" t="n">
        <v>9001897</v>
      </c>
      <c r="C294" s="9" t="s">
        <v>46</v>
      </c>
      <c r="D294" s="9" t="s">
        <v>839</v>
      </c>
      <c r="E294" s="9" t="s">
        <v>844</v>
      </c>
      <c r="F294" s="9" t="s">
        <v>865</v>
      </c>
      <c r="G294" s="9" t="s">
        <v>274</v>
      </c>
      <c r="H294" s="9" t="s">
        <v>881</v>
      </c>
      <c r="I294" s="9" t="n">
        <v>26</v>
      </c>
      <c r="J294" s="9" t="s">
        <v>293</v>
      </c>
      <c r="K294" s="9" t="s">
        <v>118</v>
      </c>
    </row>
    <row r="295" customFormat="false" ht="15" hidden="false" customHeight="false" outlineLevel="0" collapsed="false">
      <c r="A295" s="9" t="s">
        <v>893</v>
      </c>
      <c r="B295" s="9" t="n">
        <v>9001898</v>
      </c>
      <c r="C295" s="9" t="s">
        <v>46</v>
      </c>
      <c r="D295" s="9" t="s">
        <v>839</v>
      </c>
      <c r="E295" s="9" t="s">
        <v>844</v>
      </c>
      <c r="F295" s="9" t="s">
        <v>894</v>
      </c>
      <c r="G295" s="9" t="s">
        <v>278</v>
      </c>
      <c r="H295" s="9" t="s">
        <v>883</v>
      </c>
      <c r="I295" s="9" t="n">
        <v>27</v>
      </c>
      <c r="J295" s="9" t="s">
        <v>293</v>
      </c>
      <c r="K295" s="9" t="s">
        <v>118</v>
      </c>
    </row>
    <row r="296" customFormat="false" ht="15" hidden="false" customHeight="false" outlineLevel="0" collapsed="false">
      <c r="A296" s="9" t="s">
        <v>895</v>
      </c>
      <c r="B296" s="9" t="n">
        <v>9001899</v>
      </c>
      <c r="C296" s="9" t="s">
        <v>46</v>
      </c>
      <c r="D296" s="9" t="s">
        <v>839</v>
      </c>
      <c r="E296" s="9" t="s">
        <v>844</v>
      </c>
      <c r="F296" s="9" t="s">
        <v>890</v>
      </c>
      <c r="G296" s="9" t="s">
        <v>286</v>
      </c>
      <c r="H296" s="9" t="s">
        <v>886</v>
      </c>
      <c r="I296" s="9" t="n">
        <v>28</v>
      </c>
      <c r="J296" s="9" t="s">
        <v>293</v>
      </c>
      <c r="K296" s="9" t="s">
        <v>118</v>
      </c>
    </row>
    <row r="297" customFormat="false" ht="15" hidden="false" customHeight="false" outlineLevel="0" collapsed="false">
      <c r="A297" s="9" t="s">
        <v>896</v>
      </c>
      <c r="B297" s="9" t="n">
        <v>9001900</v>
      </c>
      <c r="C297" s="9" t="s">
        <v>46</v>
      </c>
      <c r="D297" s="9" t="s">
        <v>839</v>
      </c>
      <c r="E297" s="9" t="s">
        <v>844</v>
      </c>
      <c r="F297" s="9" t="s">
        <v>897</v>
      </c>
      <c r="G297" s="9" t="s">
        <v>274</v>
      </c>
      <c r="H297" s="9" t="s">
        <v>881</v>
      </c>
      <c r="I297" s="9" t="n">
        <v>26</v>
      </c>
      <c r="J297" s="9" t="s">
        <v>293</v>
      </c>
      <c r="K297" s="9" t="s">
        <v>118</v>
      </c>
    </row>
    <row r="298" customFormat="false" ht="15" hidden="false" customHeight="false" outlineLevel="0" collapsed="false">
      <c r="A298" s="9" t="s">
        <v>898</v>
      </c>
      <c r="B298" s="9" t="n">
        <v>9001901</v>
      </c>
      <c r="C298" s="9" t="s">
        <v>46</v>
      </c>
      <c r="D298" s="9" t="s">
        <v>839</v>
      </c>
      <c r="E298" s="9" t="s">
        <v>844</v>
      </c>
      <c r="F298" s="9" t="s">
        <v>899</v>
      </c>
      <c r="G298" s="9" t="s">
        <v>278</v>
      </c>
      <c r="H298" s="9" t="s">
        <v>883</v>
      </c>
      <c r="I298" s="9" t="n">
        <v>27</v>
      </c>
      <c r="J298" s="9" t="s">
        <v>293</v>
      </c>
      <c r="K298" s="9" t="s">
        <v>118</v>
      </c>
    </row>
    <row r="299" customFormat="false" ht="15" hidden="false" customHeight="false" outlineLevel="0" collapsed="false">
      <c r="A299" s="9" t="s">
        <v>900</v>
      </c>
      <c r="B299" s="9" t="n">
        <v>9001902</v>
      </c>
      <c r="C299" s="9" t="s">
        <v>46</v>
      </c>
      <c r="D299" s="9" t="s">
        <v>839</v>
      </c>
      <c r="E299" s="9" t="s">
        <v>844</v>
      </c>
      <c r="F299" s="9" t="s">
        <v>901</v>
      </c>
      <c r="G299" s="9" t="s">
        <v>479</v>
      </c>
      <c r="H299" s="9" t="s">
        <v>878</v>
      </c>
      <c r="I299" s="9" t="n">
        <v>29</v>
      </c>
      <c r="J299" s="9" t="s">
        <v>293</v>
      </c>
      <c r="K299" s="9" t="s">
        <v>118</v>
      </c>
    </row>
    <row r="300" customFormat="false" ht="15" hidden="false" customHeight="false" outlineLevel="0" collapsed="false">
      <c r="A300" s="9" t="s">
        <v>902</v>
      </c>
      <c r="B300" s="9" t="n">
        <v>9001903</v>
      </c>
      <c r="C300" s="9" t="s">
        <v>46</v>
      </c>
      <c r="D300" s="9" t="s">
        <v>839</v>
      </c>
      <c r="E300" s="9" t="s">
        <v>844</v>
      </c>
      <c r="F300" s="9" t="s">
        <v>903</v>
      </c>
      <c r="G300" s="9" t="s">
        <v>266</v>
      </c>
      <c r="H300" s="9" t="s">
        <v>904</v>
      </c>
      <c r="I300" s="9" t="n">
        <v>25</v>
      </c>
      <c r="J300" s="9" t="s">
        <v>293</v>
      </c>
      <c r="K300" s="9" t="s">
        <v>118</v>
      </c>
    </row>
    <row r="301" customFormat="false" ht="15" hidden="false" customHeight="false" outlineLevel="0" collapsed="false">
      <c r="A301" s="9" t="s">
        <v>905</v>
      </c>
      <c r="B301" s="9" t="n">
        <v>9001904</v>
      </c>
      <c r="C301" s="9" t="s">
        <v>46</v>
      </c>
      <c r="D301" s="9" t="s">
        <v>839</v>
      </c>
      <c r="E301" s="9" t="s">
        <v>844</v>
      </c>
      <c r="F301" s="9" t="s">
        <v>906</v>
      </c>
      <c r="G301" s="9" t="s">
        <v>479</v>
      </c>
      <c r="H301" s="9" t="s">
        <v>878</v>
      </c>
      <c r="I301" s="9" t="n">
        <v>29</v>
      </c>
      <c r="J301" s="9" t="s">
        <v>293</v>
      </c>
      <c r="K301" s="9" t="s">
        <v>118</v>
      </c>
    </row>
    <row r="302" customFormat="false" ht="15" hidden="false" customHeight="false" outlineLevel="0" collapsed="false">
      <c r="A302" s="9" t="s">
        <v>907</v>
      </c>
      <c r="B302" s="9" t="n">
        <v>9001905</v>
      </c>
      <c r="C302" s="9" t="s">
        <v>46</v>
      </c>
      <c r="D302" s="9" t="s">
        <v>839</v>
      </c>
      <c r="E302" s="9" t="s">
        <v>844</v>
      </c>
      <c r="F302" s="9" t="s">
        <v>908</v>
      </c>
      <c r="G302" s="9" t="s">
        <v>278</v>
      </c>
      <c r="H302" s="9" t="s">
        <v>883</v>
      </c>
      <c r="I302" s="9" t="n">
        <v>27</v>
      </c>
      <c r="J302" s="9" t="s">
        <v>293</v>
      </c>
      <c r="K302" s="9" t="s">
        <v>118</v>
      </c>
    </row>
    <row r="303" customFormat="false" ht="15" hidden="false" customHeight="false" outlineLevel="0" collapsed="false">
      <c r="A303" s="9" t="s">
        <v>909</v>
      </c>
      <c r="B303" s="9" t="n">
        <v>9001906</v>
      </c>
      <c r="C303" s="9" t="s">
        <v>46</v>
      </c>
      <c r="D303" s="9" t="s">
        <v>839</v>
      </c>
      <c r="E303" s="9" t="s">
        <v>844</v>
      </c>
      <c r="F303" s="9" t="s">
        <v>910</v>
      </c>
      <c r="G303" s="9" t="s">
        <v>278</v>
      </c>
      <c r="H303" s="9" t="s">
        <v>883</v>
      </c>
      <c r="I303" s="9" t="n">
        <v>27</v>
      </c>
      <c r="J303" s="9" t="s">
        <v>293</v>
      </c>
      <c r="K303" s="9" t="s">
        <v>118</v>
      </c>
    </row>
    <row r="304" customFormat="false" ht="15" hidden="false" customHeight="false" outlineLevel="0" collapsed="false">
      <c r="A304" s="9" t="s">
        <v>911</v>
      </c>
      <c r="B304" s="9" t="n">
        <v>9001907</v>
      </c>
      <c r="C304" s="9" t="s">
        <v>46</v>
      </c>
      <c r="D304" s="9" t="s">
        <v>839</v>
      </c>
      <c r="E304" s="9" t="s">
        <v>844</v>
      </c>
      <c r="F304" s="9" t="s">
        <v>856</v>
      </c>
      <c r="G304" s="9" t="s">
        <v>479</v>
      </c>
      <c r="H304" s="9" t="s">
        <v>878</v>
      </c>
      <c r="I304" s="9" t="n">
        <v>29</v>
      </c>
      <c r="J304" s="9" t="s">
        <v>293</v>
      </c>
      <c r="K304" s="9" t="s">
        <v>118</v>
      </c>
    </row>
    <row r="305" customFormat="false" ht="15" hidden="false" customHeight="false" outlineLevel="0" collapsed="false">
      <c r="A305" s="9" t="s">
        <v>912</v>
      </c>
      <c r="B305" s="9" t="n">
        <v>9001908</v>
      </c>
      <c r="C305" s="9" t="s">
        <v>46</v>
      </c>
      <c r="D305" s="9" t="s">
        <v>839</v>
      </c>
      <c r="E305" s="9" t="s">
        <v>844</v>
      </c>
      <c r="F305" s="9" t="s">
        <v>913</v>
      </c>
      <c r="G305" s="9" t="s">
        <v>479</v>
      </c>
      <c r="H305" s="9" t="s">
        <v>878</v>
      </c>
      <c r="I305" s="9" t="n">
        <v>29</v>
      </c>
      <c r="J305" s="9" t="s">
        <v>293</v>
      </c>
      <c r="K305" s="9" t="s">
        <v>118</v>
      </c>
    </row>
    <row r="306" customFormat="false" ht="15" hidden="false" customHeight="false" outlineLevel="0" collapsed="false">
      <c r="A306" s="9" t="s">
        <v>914</v>
      </c>
      <c r="B306" s="9" t="n">
        <v>9001909</v>
      </c>
      <c r="C306" s="9" t="s">
        <v>46</v>
      </c>
      <c r="D306" s="9" t="s">
        <v>839</v>
      </c>
      <c r="E306" s="9" t="s">
        <v>840</v>
      </c>
      <c r="F306" s="9" t="s">
        <v>915</v>
      </c>
      <c r="G306" s="9" t="s">
        <v>479</v>
      </c>
      <c r="H306" s="9" t="s">
        <v>836</v>
      </c>
      <c r="I306" s="9" t="n">
        <v>14</v>
      </c>
      <c r="J306" s="9" t="s">
        <v>293</v>
      </c>
      <c r="K306" s="9" t="s">
        <v>116</v>
      </c>
    </row>
    <row r="307" customFormat="false" ht="15" hidden="false" customHeight="false" outlineLevel="0" collapsed="false">
      <c r="A307" s="9" t="s">
        <v>916</v>
      </c>
      <c r="B307" s="9" t="n">
        <v>9001910</v>
      </c>
      <c r="C307" s="9" t="s">
        <v>46</v>
      </c>
      <c r="D307" s="9" t="s">
        <v>839</v>
      </c>
      <c r="E307" s="9" t="s">
        <v>844</v>
      </c>
      <c r="F307" s="9" t="s">
        <v>853</v>
      </c>
      <c r="G307" s="9" t="s">
        <v>266</v>
      </c>
      <c r="H307" s="9" t="s">
        <v>904</v>
      </c>
      <c r="I307" s="9" t="n">
        <v>25</v>
      </c>
      <c r="J307" s="9" t="s">
        <v>293</v>
      </c>
      <c r="K307" s="9" t="s">
        <v>118</v>
      </c>
    </row>
    <row r="308" customFormat="false" ht="15" hidden="false" customHeight="false" outlineLevel="0" collapsed="false">
      <c r="A308" s="9" t="s">
        <v>917</v>
      </c>
      <c r="B308" s="9" t="n">
        <v>9001911</v>
      </c>
      <c r="C308" s="9" t="s">
        <v>46</v>
      </c>
      <c r="D308" s="9" t="s">
        <v>839</v>
      </c>
      <c r="E308" s="9" t="s">
        <v>844</v>
      </c>
      <c r="F308" s="9" t="s">
        <v>897</v>
      </c>
      <c r="G308" s="9" t="s">
        <v>274</v>
      </c>
      <c r="H308" s="9" t="s">
        <v>881</v>
      </c>
      <c r="I308" s="9" t="n">
        <v>26</v>
      </c>
      <c r="J308" s="9" t="s">
        <v>293</v>
      </c>
      <c r="K308" s="9" t="s">
        <v>118</v>
      </c>
    </row>
    <row r="309" customFormat="false" ht="15" hidden="false" customHeight="false" outlineLevel="0" collapsed="false">
      <c r="A309" s="9" t="s">
        <v>918</v>
      </c>
      <c r="B309" s="9" t="n">
        <v>9001912</v>
      </c>
      <c r="C309" s="9" t="s">
        <v>46</v>
      </c>
      <c r="D309" s="9" t="s">
        <v>839</v>
      </c>
      <c r="E309" s="9" t="s">
        <v>844</v>
      </c>
      <c r="F309" s="9" t="s">
        <v>858</v>
      </c>
      <c r="G309" s="9" t="s">
        <v>286</v>
      </c>
      <c r="H309" s="9" t="s">
        <v>886</v>
      </c>
      <c r="I309" s="9" t="n">
        <v>28</v>
      </c>
      <c r="J309" s="9" t="s">
        <v>293</v>
      </c>
      <c r="K309" s="9" t="s">
        <v>118</v>
      </c>
    </row>
    <row r="310" customFormat="false" ht="15" hidden="false" customHeight="false" outlineLevel="0" collapsed="false">
      <c r="A310" s="9" t="s">
        <v>919</v>
      </c>
      <c r="B310" s="9" t="n">
        <v>9001913</v>
      </c>
      <c r="C310" s="9" t="s">
        <v>46</v>
      </c>
      <c r="D310" s="9" t="s">
        <v>839</v>
      </c>
      <c r="E310" s="9" t="s">
        <v>844</v>
      </c>
      <c r="F310" s="9" t="s">
        <v>885</v>
      </c>
      <c r="G310" s="9" t="s">
        <v>274</v>
      </c>
      <c r="H310" s="9" t="s">
        <v>881</v>
      </c>
      <c r="I310" s="9" t="n">
        <v>26</v>
      </c>
      <c r="J310" s="9" t="s">
        <v>293</v>
      </c>
      <c r="K310" s="9" t="s">
        <v>118</v>
      </c>
    </row>
    <row r="311" customFormat="false" ht="15" hidden="false" customHeight="false" outlineLevel="0" collapsed="false">
      <c r="A311" s="9" t="s">
        <v>920</v>
      </c>
      <c r="B311" s="9" t="n">
        <v>9001914</v>
      </c>
      <c r="C311" s="9" t="s">
        <v>46</v>
      </c>
      <c r="D311" s="9" t="s">
        <v>839</v>
      </c>
      <c r="E311" s="9" t="s">
        <v>844</v>
      </c>
      <c r="F311" s="9" t="s">
        <v>913</v>
      </c>
      <c r="G311" s="9" t="s">
        <v>266</v>
      </c>
      <c r="H311" s="9" t="s">
        <v>904</v>
      </c>
      <c r="I311" s="9" t="n">
        <v>25</v>
      </c>
      <c r="J311" s="9" t="s">
        <v>293</v>
      </c>
      <c r="K311" s="9" t="s">
        <v>118</v>
      </c>
    </row>
    <row r="312" customFormat="false" ht="15" hidden="false" customHeight="false" outlineLevel="0" collapsed="false">
      <c r="A312" s="9" t="s">
        <v>921</v>
      </c>
      <c r="B312" s="9" t="n">
        <v>9001915</v>
      </c>
      <c r="C312" s="9" t="s">
        <v>46</v>
      </c>
      <c r="D312" s="9" t="s">
        <v>839</v>
      </c>
      <c r="E312" s="9" t="s">
        <v>844</v>
      </c>
      <c r="F312" s="9" t="s">
        <v>922</v>
      </c>
      <c r="G312" s="9" t="s">
        <v>266</v>
      </c>
      <c r="H312" s="9" t="s">
        <v>904</v>
      </c>
      <c r="I312" s="9" t="n">
        <v>25</v>
      </c>
      <c r="J312" s="9" t="s">
        <v>293</v>
      </c>
      <c r="K312" s="9" t="s">
        <v>118</v>
      </c>
    </row>
    <row r="313" customFormat="false" ht="15" hidden="false" customHeight="false" outlineLevel="0" collapsed="false">
      <c r="A313" s="9" t="s">
        <v>923</v>
      </c>
      <c r="B313" s="9" t="n">
        <v>9001916</v>
      </c>
      <c r="C313" s="9" t="s">
        <v>46</v>
      </c>
      <c r="D313" s="9" t="s">
        <v>839</v>
      </c>
      <c r="E313" s="9" t="s">
        <v>844</v>
      </c>
      <c r="F313" s="9" t="s">
        <v>924</v>
      </c>
      <c r="G313" s="9" t="s">
        <v>286</v>
      </c>
      <c r="H313" s="9" t="s">
        <v>886</v>
      </c>
      <c r="I313" s="9" t="n">
        <v>28</v>
      </c>
      <c r="J313" s="9" t="s">
        <v>293</v>
      </c>
      <c r="K313" s="9" t="s">
        <v>118</v>
      </c>
    </row>
    <row r="314" customFormat="false" ht="15" hidden="false" customHeight="false" outlineLevel="0" collapsed="false">
      <c r="A314" s="9" t="s">
        <v>925</v>
      </c>
      <c r="B314" s="9" t="n">
        <v>9001917</v>
      </c>
      <c r="C314" s="9" t="s">
        <v>46</v>
      </c>
      <c r="D314" s="9" t="s">
        <v>839</v>
      </c>
      <c r="E314" s="9" t="s">
        <v>844</v>
      </c>
      <c r="F314" s="9" t="s">
        <v>924</v>
      </c>
      <c r="G314" s="9" t="s">
        <v>278</v>
      </c>
      <c r="H314" s="9" t="s">
        <v>883</v>
      </c>
      <c r="I314" s="9" t="n">
        <v>27</v>
      </c>
      <c r="J314" s="9" t="s">
        <v>293</v>
      </c>
      <c r="K314" s="9" t="s">
        <v>118</v>
      </c>
    </row>
    <row r="315" customFormat="false" ht="15" hidden="false" customHeight="false" outlineLevel="0" collapsed="false">
      <c r="A315" s="9" t="s">
        <v>926</v>
      </c>
      <c r="B315" s="9" t="n">
        <v>9001918</v>
      </c>
      <c r="C315" s="9" t="s">
        <v>46</v>
      </c>
      <c r="D315" s="9" t="s">
        <v>839</v>
      </c>
      <c r="E315" s="9" t="s">
        <v>844</v>
      </c>
      <c r="F315" s="9" t="s">
        <v>927</v>
      </c>
      <c r="G315" s="9" t="s">
        <v>278</v>
      </c>
      <c r="H315" s="9" t="s">
        <v>883</v>
      </c>
      <c r="I315" s="9" t="n">
        <v>27</v>
      </c>
      <c r="J315" s="9" t="s">
        <v>293</v>
      </c>
      <c r="K315" s="9" t="s">
        <v>118</v>
      </c>
    </row>
    <row r="316" customFormat="false" ht="15" hidden="false" customHeight="false" outlineLevel="0" collapsed="false">
      <c r="A316" s="9" t="s">
        <v>928</v>
      </c>
      <c r="B316" s="9" t="n">
        <v>9001919</v>
      </c>
      <c r="C316" s="9" t="s">
        <v>46</v>
      </c>
      <c r="D316" s="9" t="s">
        <v>839</v>
      </c>
      <c r="E316" s="9" t="s">
        <v>844</v>
      </c>
      <c r="F316" s="9" t="s">
        <v>913</v>
      </c>
      <c r="G316" s="9" t="s">
        <v>479</v>
      </c>
      <c r="H316" s="9" t="s">
        <v>878</v>
      </c>
      <c r="I316" s="9" t="n">
        <v>29</v>
      </c>
      <c r="J316" s="9" t="s">
        <v>293</v>
      </c>
      <c r="K316" s="9" t="s">
        <v>118</v>
      </c>
    </row>
    <row r="317" customFormat="false" ht="15" hidden="false" customHeight="false" outlineLevel="0" collapsed="false">
      <c r="A317" s="9" t="s">
        <v>929</v>
      </c>
      <c r="B317" s="9" t="n">
        <v>9001920</v>
      </c>
      <c r="C317" s="9" t="s">
        <v>46</v>
      </c>
      <c r="D317" s="9" t="s">
        <v>839</v>
      </c>
      <c r="E317" s="9" t="s">
        <v>844</v>
      </c>
      <c r="F317" s="9" t="s">
        <v>930</v>
      </c>
      <c r="G317" s="9" t="s">
        <v>274</v>
      </c>
      <c r="H317" s="9" t="s">
        <v>881</v>
      </c>
      <c r="I317" s="9" t="n">
        <v>26</v>
      </c>
      <c r="J317" s="9" t="s">
        <v>293</v>
      </c>
      <c r="K317" s="9" t="s">
        <v>118</v>
      </c>
    </row>
    <row r="318" customFormat="false" ht="15" hidden="false" customHeight="false" outlineLevel="0" collapsed="false">
      <c r="A318" s="9" t="s">
        <v>931</v>
      </c>
      <c r="B318" s="9" t="n">
        <v>9001921</v>
      </c>
      <c r="C318" s="9" t="s">
        <v>46</v>
      </c>
      <c r="D318" s="9" t="s">
        <v>839</v>
      </c>
      <c r="E318" s="9" t="s">
        <v>844</v>
      </c>
      <c r="F318" s="9" t="s">
        <v>876</v>
      </c>
      <c r="G318" s="9" t="s">
        <v>479</v>
      </c>
      <c r="H318" s="9" t="s">
        <v>878</v>
      </c>
      <c r="I318" s="9" t="n">
        <v>29</v>
      </c>
      <c r="J318" s="9" t="s">
        <v>293</v>
      </c>
      <c r="K318" s="9" t="s">
        <v>118</v>
      </c>
    </row>
    <row r="319" customFormat="false" ht="15" hidden="false" customHeight="false" outlineLevel="0" collapsed="false">
      <c r="A319" s="9" t="s">
        <v>932</v>
      </c>
      <c r="B319" s="9" t="n">
        <v>9001922</v>
      </c>
      <c r="C319" s="9" t="s">
        <v>46</v>
      </c>
      <c r="D319" s="9" t="s">
        <v>839</v>
      </c>
      <c r="E319" s="9" t="s">
        <v>840</v>
      </c>
      <c r="F319" s="9" t="s">
        <v>933</v>
      </c>
      <c r="G319" s="9" t="s">
        <v>286</v>
      </c>
      <c r="H319" s="9" t="s">
        <v>829</v>
      </c>
      <c r="I319" s="9" t="n">
        <v>13</v>
      </c>
      <c r="J319" s="9" t="s">
        <v>293</v>
      </c>
      <c r="K319" s="9" t="s">
        <v>116</v>
      </c>
    </row>
    <row r="320" customFormat="false" ht="15" hidden="false" customHeight="false" outlineLevel="0" collapsed="false">
      <c r="A320" s="9" t="s">
        <v>934</v>
      </c>
      <c r="B320" s="9" t="n">
        <v>9001923</v>
      </c>
      <c r="C320" s="9" t="s">
        <v>46</v>
      </c>
      <c r="D320" s="9" t="s">
        <v>839</v>
      </c>
      <c r="E320" s="9" t="s">
        <v>844</v>
      </c>
      <c r="F320" s="9" t="s">
        <v>885</v>
      </c>
      <c r="G320" s="9" t="s">
        <v>274</v>
      </c>
      <c r="H320" s="9" t="s">
        <v>881</v>
      </c>
      <c r="I320" s="9" t="n">
        <v>26</v>
      </c>
      <c r="J320" s="9" t="s">
        <v>293</v>
      </c>
      <c r="K320" s="9" t="s">
        <v>118</v>
      </c>
    </row>
    <row r="321" customFormat="false" ht="15" hidden="false" customHeight="false" outlineLevel="0" collapsed="false">
      <c r="A321" s="9" t="s">
        <v>935</v>
      </c>
      <c r="B321" s="9" t="n">
        <v>9001924</v>
      </c>
      <c r="C321" s="9" t="s">
        <v>46</v>
      </c>
      <c r="D321" s="9" t="s">
        <v>839</v>
      </c>
      <c r="E321" s="9" t="s">
        <v>844</v>
      </c>
      <c r="F321" s="9" t="s">
        <v>867</v>
      </c>
      <c r="G321" s="9" t="s">
        <v>479</v>
      </c>
      <c r="H321" s="9" t="s">
        <v>878</v>
      </c>
      <c r="I321" s="9" t="n">
        <v>29</v>
      </c>
      <c r="J321" s="9" t="s">
        <v>293</v>
      </c>
      <c r="K321" s="9" t="s">
        <v>118</v>
      </c>
    </row>
    <row r="322" customFormat="false" ht="15" hidden="false" customHeight="false" outlineLevel="0" collapsed="false">
      <c r="A322" s="9" t="s">
        <v>936</v>
      </c>
      <c r="B322" s="9" t="n">
        <v>9001926</v>
      </c>
      <c r="C322" s="9" t="s">
        <v>46</v>
      </c>
      <c r="D322" s="9" t="s">
        <v>839</v>
      </c>
      <c r="E322" s="9" t="s">
        <v>844</v>
      </c>
      <c r="F322" s="9" t="s">
        <v>937</v>
      </c>
      <c r="G322" s="9" t="s">
        <v>274</v>
      </c>
      <c r="H322" s="9" t="s">
        <v>881</v>
      </c>
      <c r="I322" s="9" t="n">
        <v>26</v>
      </c>
      <c r="J322" s="9" t="s">
        <v>293</v>
      </c>
      <c r="K322" s="9" t="s">
        <v>118</v>
      </c>
    </row>
    <row r="323" customFormat="false" ht="15" hidden="false" customHeight="false" outlineLevel="0" collapsed="false">
      <c r="A323" s="9" t="s">
        <v>938</v>
      </c>
      <c r="B323" s="9" t="n">
        <v>9001927</v>
      </c>
      <c r="C323" s="9" t="s">
        <v>46</v>
      </c>
      <c r="D323" s="9" t="s">
        <v>839</v>
      </c>
      <c r="E323" s="9" t="s">
        <v>844</v>
      </c>
      <c r="F323" s="9" t="s">
        <v>899</v>
      </c>
      <c r="G323" s="9" t="s">
        <v>286</v>
      </c>
      <c r="H323" s="9" t="s">
        <v>886</v>
      </c>
      <c r="I323" s="9" t="n">
        <v>28</v>
      </c>
      <c r="J323" s="9" t="s">
        <v>293</v>
      </c>
      <c r="K323" s="9" t="s">
        <v>118</v>
      </c>
    </row>
    <row r="324" customFormat="false" ht="15" hidden="false" customHeight="false" outlineLevel="0" collapsed="false">
      <c r="A324" s="9" t="s">
        <v>939</v>
      </c>
      <c r="B324" s="9" t="n">
        <v>9001928</v>
      </c>
      <c r="C324" s="9" t="s">
        <v>46</v>
      </c>
      <c r="D324" s="9" t="s">
        <v>839</v>
      </c>
      <c r="E324" s="9" t="s">
        <v>844</v>
      </c>
      <c r="F324" s="9" t="s">
        <v>940</v>
      </c>
      <c r="G324" s="9" t="s">
        <v>266</v>
      </c>
      <c r="H324" s="9" t="s">
        <v>904</v>
      </c>
      <c r="I324" s="9" t="n">
        <v>25</v>
      </c>
      <c r="J324" s="9" t="s">
        <v>293</v>
      </c>
      <c r="K324" s="9" t="s">
        <v>118</v>
      </c>
    </row>
    <row r="325" customFormat="false" ht="15" hidden="false" customHeight="false" outlineLevel="0" collapsed="false">
      <c r="A325" s="9" t="s">
        <v>941</v>
      </c>
      <c r="B325" s="9" t="n">
        <v>9001929</v>
      </c>
      <c r="C325" s="9" t="s">
        <v>46</v>
      </c>
      <c r="D325" s="9" t="s">
        <v>839</v>
      </c>
      <c r="E325" s="9" t="s">
        <v>844</v>
      </c>
      <c r="F325" s="9" t="s">
        <v>942</v>
      </c>
      <c r="G325" s="9" t="s">
        <v>266</v>
      </c>
      <c r="H325" s="9" t="s">
        <v>904</v>
      </c>
      <c r="I325" s="9" t="n">
        <v>25</v>
      </c>
      <c r="J325" s="9" t="s">
        <v>293</v>
      </c>
      <c r="K325" s="9" t="s">
        <v>118</v>
      </c>
    </row>
    <row r="326" customFormat="false" ht="15" hidden="false" customHeight="false" outlineLevel="0" collapsed="false">
      <c r="A326" s="9" t="s">
        <v>943</v>
      </c>
      <c r="B326" s="9" t="n">
        <v>9001930</v>
      </c>
      <c r="C326" s="9" t="s">
        <v>46</v>
      </c>
      <c r="D326" s="9" t="s">
        <v>839</v>
      </c>
      <c r="E326" s="9" t="s">
        <v>844</v>
      </c>
      <c r="F326" s="9" t="s">
        <v>944</v>
      </c>
      <c r="G326" s="9" t="s">
        <v>286</v>
      </c>
      <c r="H326" s="9" t="s">
        <v>886</v>
      </c>
      <c r="I326" s="9" t="n">
        <v>28</v>
      </c>
      <c r="J326" s="9" t="s">
        <v>293</v>
      </c>
      <c r="K326" s="9" t="s">
        <v>118</v>
      </c>
    </row>
    <row r="327" customFormat="false" ht="15" hidden="false" customHeight="false" outlineLevel="0" collapsed="false">
      <c r="A327" s="9" t="s">
        <v>945</v>
      </c>
      <c r="B327" s="9" t="n">
        <v>9001931</v>
      </c>
      <c r="C327" s="9" t="s">
        <v>46</v>
      </c>
      <c r="D327" s="9" t="s">
        <v>839</v>
      </c>
      <c r="E327" s="9" t="s">
        <v>844</v>
      </c>
      <c r="F327" s="9" t="s">
        <v>858</v>
      </c>
      <c r="G327" s="9" t="s">
        <v>286</v>
      </c>
      <c r="H327" s="9" t="s">
        <v>886</v>
      </c>
      <c r="I327" s="9" t="n">
        <v>28</v>
      </c>
      <c r="J327" s="9" t="s">
        <v>293</v>
      </c>
      <c r="K327" s="9" t="s">
        <v>118</v>
      </c>
    </row>
    <row r="328" customFormat="false" ht="15" hidden="false" customHeight="false" outlineLevel="0" collapsed="false">
      <c r="A328" s="9" t="s">
        <v>946</v>
      </c>
      <c r="B328" s="9" t="n">
        <v>9001932</v>
      </c>
      <c r="C328" s="9" t="s">
        <v>46</v>
      </c>
      <c r="D328" s="9" t="s">
        <v>839</v>
      </c>
      <c r="E328" s="9" t="s">
        <v>844</v>
      </c>
      <c r="F328" s="9" t="s">
        <v>867</v>
      </c>
      <c r="G328" s="9" t="s">
        <v>274</v>
      </c>
      <c r="H328" s="9" t="s">
        <v>881</v>
      </c>
      <c r="I328" s="9" t="n">
        <v>26</v>
      </c>
      <c r="J328" s="9" t="s">
        <v>293</v>
      </c>
      <c r="K328" s="9" t="s">
        <v>118</v>
      </c>
    </row>
    <row r="329" customFormat="false" ht="15" hidden="false" customHeight="false" outlineLevel="0" collapsed="false">
      <c r="A329" s="9" t="s">
        <v>947</v>
      </c>
      <c r="B329" s="9" t="n">
        <v>9001933</v>
      </c>
      <c r="C329" s="9" t="s">
        <v>46</v>
      </c>
      <c r="D329" s="9" t="s">
        <v>839</v>
      </c>
      <c r="E329" s="9" t="s">
        <v>844</v>
      </c>
      <c r="F329" s="9" t="s">
        <v>924</v>
      </c>
      <c r="G329" s="9" t="s">
        <v>266</v>
      </c>
      <c r="H329" s="9" t="s">
        <v>904</v>
      </c>
      <c r="I329" s="9" t="n">
        <v>25</v>
      </c>
      <c r="J329" s="9" t="s">
        <v>293</v>
      </c>
      <c r="K329" s="9" t="s">
        <v>118</v>
      </c>
    </row>
    <row r="330" customFormat="false" ht="15" hidden="false" customHeight="false" outlineLevel="0" collapsed="false">
      <c r="A330" s="9" t="s">
        <v>948</v>
      </c>
      <c r="B330" s="9" t="n">
        <v>9001934</v>
      </c>
      <c r="C330" s="9" t="s">
        <v>46</v>
      </c>
      <c r="D330" s="9" t="s">
        <v>839</v>
      </c>
      <c r="E330" s="9" t="s">
        <v>844</v>
      </c>
      <c r="F330" s="9" t="s">
        <v>949</v>
      </c>
      <c r="G330" s="9" t="s">
        <v>286</v>
      </c>
      <c r="H330" s="9" t="s">
        <v>886</v>
      </c>
      <c r="I330" s="9" t="n">
        <v>28</v>
      </c>
      <c r="J330" s="9" t="s">
        <v>293</v>
      </c>
      <c r="K330" s="9" t="s">
        <v>118</v>
      </c>
    </row>
    <row r="331" customFormat="false" ht="15" hidden="false" customHeight="false" outlineLevel="0" collapsed="false">
      <c r="A331" s="9" t="s">
        <v>950</v>
      </c>
      <c r="B331" s="9" t="n">
        <v>9001986</v>
      </c>
      <c r="C331" s="9" t="s">
        <v>47</v>
      </c>
      <c r="D331" s="9" t="s">
        <v>839</v>
      </c>
      <c r="E331" s="9" t="s">
        <v>951</v>
      </c>
      <c r="F331" s="9" t="s">
        <v>952</v>
      </c>
      <c r="G331" s="9" t="s">
        <v>953</v>
      </c>
      <c r="H331" s="9" t="s">
        <v>213</v>
      </c>
      <c r="I331" s="9" t="n">
        <v>-74</v>
      </c>
      <c r="J331" s="9" t="s">
        <v>137</v>
      </c>
      <c r="K331" s="9" t="s">
        <v>116</v>
      </c>
    </row>
    <row r="332" customFormat="false" ht="15" hidden="false" customHeight="false" outlineLevel="0" collapsed="false">
      <c r="A332" s="9" t="s">
        <v>954</v>
      </c>
      <c r="B332" s="9" t="n">
        <v>9001991</v>
      </c>
      <c r="C332" s="9" t="s">
        <v>47</v>
      </c>
      <c r="D332" s="9" t="s">
        <v>839</v>
      </c>
      <c r="E332" s="9" t="s">
        <v>951</v>
      </c>
      <c r="F332" s="9" t="s">
        <v>952</v>
      </c>
      <c r="G332" s="9" t="s">
        <v>955</v>
      </c>
      <c r="H332" s="9" t="s">
        <v>956</v>
      </c>
      <c r="I332" s="9" t="n">
        <v>-43</v>
      </c>
      <c r="J332" s="9" t="s">
        <v>137</v>
      </c>
      <c r="K332" s="9" t="s">
        <v>116</v>
      </c>
    </row>
    <row r="333" customFormat="false" ht="15" hidden="false" customHeight="false" outlineLevel="0" collapsed="false">
      <c r="A333" s="9" t="s">
        <v>957</v>
      </c>
      <c r="B333" s="9" t="n">
        <v>9002005</v>
      </c>
      <c r="C333" s="9" t="s">
        <v>47</v>
      </c>
      <c r="D333" s="9" t="s">
        <v>839</v>
      </c>
      <c r="E333" s="9" t="s">
        <v>951</v>
      </c>
      <c r="F333" s="9" t="s">
        <v>952</v>
      </c>
      <c r="G333" s="9" t="s">
        <v>702</v>
      </c>
      <c r="H333" s="9" t="s">
        <v>330</v>
      </c>
      <c r="I333" s="9" t="n">
        <v>-16</v>
      </c>
      <c r="J333" s="9" t="s">
        <v>137</v>
      </c>
      <c r="K333" s="9" t="s">
        <v>116</v>
      </c>
    </row>
    <row r="334" customFormat="false" ht="15" hidden="false" customHeight="false" outlineLevel="0" collapsed="false">
      <c r="A334" s="9" t="s">
        <v>958</v>
      </c>
      <c r="B334" s="9" t="n">
        <v>9002006</v>
      </c>
      <c r="C334" s="9" t="s">
        <v>47</v>
      </c>
      <c r="D334" s="9" t="s">
        <v>839</v>
      </c>
      <c r="E334" s="9" t="s">
        <v>951</v>
      </c>
      <c r="F334" s="9" t="s">
        <v>952</v>
      </c>
      <c r="G334" s="9" t="s">
        <v>479</v>
      </c>
      <c r="H334" s="9" t="s">
        <v>959</v>
      </c>
      <c r="I334" s="9" t="n">
        <v>19</v>
      </c>
      <c r="J334" s="9" t="s">
        <v>293</v>
      </c>
      <c r="K334" s="9" t="s">
        <v>116</v>
      </c>
    </row>
    <row r="335" customFormat="false" ht="15" hidden="false" customHeight="false" outlineLevel="0" collapsed="false">
      <c r="A335" s="9" t="s">
        <v>960</v>
      </c>
      <c r="B335" s="9" t="n">
        <v>9002007</v>
      </c>
      <c r="C335" s="9" t="s">
        <v>47</v>
      </c>
      <c r="D335" s="9" t="s">
        <v>839</v>
      </c>
      <c r="E335" s="9" t="s">
        <v>951</v>
      </c>
      <c r="F335" s="9" t="s">
        <v>952</v>
      </c>
      <c r="G335" s="9" t="s">
        <v>286</v>
      </c>
      <c r="H335" s="9" t="s">
        <v>961</v>
      </c>
      <c r="I335" s="9" t="n">
        <v>18</v>
      </c>
      <c r="J335" s="9" t="s">
        <v>293</v>
      </c>
      <c r="K335" s="9" t="s">
        <v>116</v>
      </c>
    </row>
    <row r="336" customFormat="false" ht="15" hidden="false" customHeight="false" outlineLevel="0" collapsed="false">
      <c r="A336" s="9" t="s">
        <v>962</v>
      </c>
      <c r="B336" s="9" t="n">
        <v>9002008</v>
      </c>
      <c r="C336" s="9" t="s">
        <v>47</v>
      </c>
      <c r="D336" s="9" t="s">
        <v>839</v>
      </c>
      <c r="E336" s="9" t="s">
        <v>951</v>
      </c>
      <c r="F336" s="9" t="s">
        <v>952</v>
      </c>
      <c r="G336" s="9" t="s">
        <v>274</v>
      </c>
      <c r="H336" s="9" t="s">
        <v>819</v>
      </c>
      <c r="I336" s="9" t="n">
        <v>16</v>
      </c>
      <c r="J336" s="9" t="s">
        <v>293</v>
      </c>
      <c r="K336" s="9" t="s">
        <v>116</v>
      </c>
    </row>
    <row r="337" customFormat="false" ht="15" hidden="false" customHeight="false" outlineLevel="0" collapsed="false">
      <c r="A337" s="9" t="s">
        <v>963</v>
      </c>
      <c r="B337" s="9" t="n">
        <v>9002009</v>
      </c>
      <c r="C337" s="9" t="s">
        <v>47</v>
      </c>
      <c r="D337" s="9" t="s">
        <v>839</v>
      </c>
      <c r="E337" s="9" t="s">
        <v>951</v>
      </c>
      <c r="F337" s="9" t="s">
        <v>952</v>
      </c>
      <c r="G337" s="9" t="s">
        <v>266</v>
      </c>
      <c r="H337" s="9" t="s">
        <v>403</v>
      </c>
      <c r="I337" s="9" t="n">
        <v>15</v>
      </c>
      <c r="J337" s="9" t="s">
        <v>293</v>
      </c>
      <c r="K337" s="9" t="s">
        <v>116</v>
      </c>
    </row>
    <row r="338" customFormat="false" ht="15" hidden="false" customHeight="false" outlineLevel="0" collapsed="false">
      <c r="A338" s="9" t="s">
        <v>964</v>
      </c>
      <c r="B338" s="9" t="n">
        <v>9002010</v>
      </c>
      <c r="C338" s="9" t="s">
        <v>47</v>
      </c>
      <c r="D338" s="9" t="s">
        <v>839</v>
      </c>
      <c r="E338" s="9" t="s">
        <v>951</v>
      </c>
      <c r="F338" s="9" t="s">
        <v>952</v>
      </c>
      <c r="G338" s="9" t="s">
        <v>479</v>
      </c>
      <c r="H338" s="9" t="s">
        <v>959</v>
      </c>
      <c r="I338" s="9" t="n">
        <v>19</v>
      </c>
      <c r="J338" s="9" t="s">
        <v>293</v>
      </c>
      <c r="K338" s="9" t="s">
        <v>116</v>
      </c>
    </row>
    <row r="339" customFormat="false" ht="15" hidden="false" customHeight="false" outlineLevel="0" collapsed="false">
      <c r="A339" s="9" t="s">
        <v>965</v>
      </c>
      <c r="B339" s="9" t="n">
        <v>9002011</v>
      </c>
      <c r="C339" s="9" t="s">
        <v>47</v>
      </c>
      <c r="D339" s="9" t="s">
        <v>839</v>
      </c>
      <c r="E339" s="9" t="s">
        <v>951</v>
      </c>
      <c r="F339" s="9" t="s">
        <v>952</v>
      </c>
      <c r="G339" s="9" t="s">
        <v>479</v>
      </c>
      <c r="H339" s="9" t="s">
        <v>959</v>
      </c>
      <c r="I339" s="9" t="n">
        <v>19</v>
      </c>
      <c r="J339" s="9" t="s">
        <v>293</v>
      </c>
      <c r="K339" s="9" t="s">
        <v>116</v>
      </c>
    </row>
    <row r="340" customFormat="false" ht="15" hidden="false" customHeight="false" outlineLevel="0" collapsed="false">
      <c r="A340" s="9" t="s">
        <v>966</v>
      </c>
      <c r="B340" s="9" t="n">
        <v>9002015</v>
      </c>
      <c r="C340" s="9" t="s">
        <v>48</v>
      </c>
      <c r="D340" s="9" t="s">
        <v>967</v>
      </c>
      <c r="E340" s="9" t="s">
        <v>968</v>
      </c>
      <c r="F340" s="9" t="s">
        <v>969</v>
      </c>
      <c r="G340" s="9" t="s">
        <v>970</v>
      </c>
      <c r="H340" s="9" t="s">
        <v>971</v>
      </c>
      <c r="I340" s="9" t="n">
        <v>-350</v>
      </c>
      <c r="J340" s="9" t="s">
        <v>137</v>
      </c>
      <c r="K340" s="9" t="s">
        <v>113</v>
      </c>
    </row>
    <row r="341" customFormat="false" ht="15" hidden="false" customHeight="false" outlineLevel="0" collapsed="false">
      <c r="A341" s="9" t="s">
        <v>972</v>
      </c>
      <c r="B341" s="9" t="n">
        <v>9002033</v>
      </c>
      <c r="C341" s="9" t="s">
        <v>48</v>
      </c>
      <c r="D341" s="9" t="s">
        <v>967</v>
      </c>
      <c r="E341" s="9" t="s">
        <v>968</v>
      </c>
      <c r="F341" s="9" t="s">
        <v>973</v>
      </c>
      <c r="G341" s="9" t="s">
        <v>553</v>
      </c>
      <c r="H341" s="9" t="s">
        <v>560</v>
      </c>
      <c r="I341" s="9" t="n">
        <v>-268</v>
      </c>
      <c r="J341" s="9" t="s">
        <v>137</v>
      </c>
      <c r="K341" s="9" t="s">
        <v>113</v>
      </c>
    </row>
    <row r="342" customFormat="false" ht="15" hidden="false" customHeight="false" outlineLevel="0" collapsed="false">
      <c r="A342" s="9" t="s">
        <v>974</v>
      </c>
      <c r="B342" s="9" t="n">
        <v>9002041</v>
      </c>
      <c r="C342" s="9" t="s">
        <v>48</v>
      </c>
      <c r="D342" s="9" t="s">
        <v>967</v>
      </c>
      <c r="E342" s="9" t="s">
        <v>968</v>
      </c>
      <c r="F342" s="9" t="s">
        <v>975</v>
      </c>
      <c r="G342" s="9" t="s">
        <v>976</v>
      </c>
      <c r="H342" s="9" t="s">
        <v>977</v>
      </c>
      <c r="I342" s="9" t="n">
        <v>-236</v>
      </c>
      <c r="J342" s="9" t="s">
        <v>137</v>
      </c>
      <c r="K342" s="9" t="s">
        <v>113</v>
      </c>
    </row>
    <row r="343" customFormat="false" ht="15" hidden="false" customHeight="false" outlineLevel="0" collapsed="false">
      <c r="A343" s="9" t="s">
        <v>978</v>
      </c>
      <c r="B343" s="9" t="n">
        <v>9002050</v>
      </c>
      <c r="C343" s="9" t="s">
        <v>48</v>
      </c>
      <c r="D343" s="9" t="s">
        <v>967</v>
      </c>
      <c r="E343" s="9" t="s">
        <v>968</v>
      </c>
      <c r="F343" s="9" t="s">
        <v>979</v>
      </c>
      <c r="G343" s="9" t="s">
        <v>610</v>
      </c>
      <c r="H343" s="9" t="s">
        <v>980</v>
      </c>
      <c r="I343" s="9" t="n">
        <v>-203</v>
      </c>
      <c r="J343" s="9" t="s">
        <v>137</v>
      </c>
      <c r="K343" s="9" t="s">
        <v>113</v>
      </c>
    </row>
    <row r="344" customFormat="false" ht="15" hidden="false" customHeight="false" outlineLevel="0" collapsed="false">
      <c r="A344" s="9" t="s">
        <v>981</v>
      </c>
      <c r="B344" s="9" t="n">
        <v>9002053</v>
      </c>
      <c r="C344" s="9" t="s">
        <v>48</v>
      </c>
      <c r="D344" s="9" t="s">
        <v>967</v>
      </c>
      <c r="E344" s="9" t="s">
        <v>968</v>
      </c>
      <c r="F344" s="9" t="s">
        <v>982</v>
      </c>
      <c r="G344" s="9" t="s">
        <v>611</v>
      </c>
      <c r="H344" s="9" t="s">
        <v>848</v>
      </c>
      <c r="I344" s="9" t="n">
        <v>-183</v>
      </c>
      <c r="J344" s="9" t="s">
        <v>137</v>
      </c>
      <c r="K344" s="9" t="s">
        <v>113</v>
      </c>
    </row>
    <row r="345" customFormat="false" ht="15" hidden="false" customHeight="false" outlineLevel="0" collapsed="false">
      <c r="A345" s="9" t="s">
        <v>983</v>
      </c>
      <c r="B345" s="9" t="n">
        <v>9002067</v>
      </c>
      <c r="C345" s="9" t="s">
        <v>48</v>
      </c>
      <c r="D345" s="9" t="s">
        <v>967</v>
      </c>
      <c r="E345" s="9" t="s">
        <v>968</v>
      </c>
      <c r="F345" s="9" t="s">
        <v>984</v>
      </c>
      <c r="G345" s="9" t="s">
        <v>449</v>
      </c>
      <c r="H345" s="9" t="s">
        <v>985</v>
      </c>
      <c r="I345" s="9" t="n">
        <v>-146</v>
      </c>
      <c r="J345" s="9" t="s">
        <v>137</v>
      </c>
      <c r="K345" s="9" t="s">
        <v>113</v>
      </c>
    </row>
    <row r="346" customFormat="false" ht="15" hidden="false" customHeight="false" outlineLevel="0" collapsed="false">
      <c r="A346" s="9" t="s">
        <v>986</v>
      </c>
      <c r="B346" s="9" t="n">
        <v>9002085</v>
      </c>
      <c r="C346" s="9" t="s">
        <v>48</v>
      </c>
      <c r="D346" s="9" t="s">
        <v>967</v>
      </c>
      <c r="E346" s="9" t="s">
        <v>968</v>
      </c>
      <c r="F346" s="9" t="s">
        <v>987</v>
      </c>
      <c r="G346" s="9" t="s">
        <v>685</v>
      </c>
      <c r="H346" s="9" t="s">
        <v>988</v>
      </c>
      <c r="I346" s="9" t="n">
        <v>-77</v>
      </c>
      <c r="J346" s="9" t="s">
        <v>137</v>
      </c>
      <c r="K346" s="9" t="s">
        <v>113</v>
      </c>
    </row>
    <row r="347" customFormat="false" ht="15" hidden="false" customHeight="false" outlineLevel="0" collapsed="false">
      <c r="A347" s="9" t="s">
        <v>989</v>
      </c>
      <c r="B347" s="9" t="n">
        <v>9002087</v>
      </c>
      <c r="C347" s="9" t="s">
        <v>48</v>
      </c>
      <c r="D347" s="9" t="s">
        <v>967</v>
      </c>
      <c r="E347" s="9" t="s">
        <v>968</v>
      </c>
      <c r="F347" s="9" t="s">
        <v>990</v>
      </c>
      <c r="G347" s="9" t="s">
        <v>468</v>
      </c>
      <c r="H347" s="9" t="s">
        <v>991</v>
      </c>
      <c r="I347" s="9" t="n">
        <v>-75</v>
      </c>
      <c r="J347" s="9" t="s">
        <v>137</v>
      </c>
      <c r="K347" s="9" t="s">
        <v>113</v>
      </c>
    </row>
    <row r="348" customFormat="false" ht="15" hidden="false" customHeight="false" outlineLevel="0" collapsed="false">
      <c r="A348" s="9" t="s">
        <v>992</v>
      </c>
      <c r="B348" s="9" t="n">
        <v>9002097</v>
      </c>
      <c r="C348" s="9" t="s">
        <v>48</v>
      </c>
      <c r="D348" s="9" t="s">
        <v>967</v>
      </c>
      <c r="E348" s="9" t="s">
        <v>968</v>
      </c>
      <c r="F348" s="9" t="s">
        <v>993</v>
      </c>
      <c r="G348" s="9" t="s">
        <v>196</v>
      </c>
      <c r="H348" s="9" t="s">
        <v>225</v>
      </c>
      <c r="I348" s="9" t="n">
        <v>-50</v>
      </c>
      <c r="J348" s="9" t="s">
        <v>137</v>
      </c>
      <c r="K348" s="9" t="s">
        <v>113</v>
      </c>
    </row>
    <row r="349" customFormat="false" ht="15" hidden="false" customHeight="false" outlineLevel="0" collapsed="false">
      <c r="A349" s="9" t="s">
        <v>994</v>
      </c>
      <c r="B349" s="9" t="n">
        <v>9002100</v>
      </c>
      <c r="C349" s="9" t="s">
        <v>48</v>
      </c>
      <c r="D349" s="9" t="s">
        <v>967</v>
      </c>
      <c r="E349" s="9" t="s">
        <v>968</v>
      </c>
      <c r="F349" s="9" t="s">
        <v>995</v>
      </c>
      <c r="G349" s="9" t="s">
        <v>996</v>
      </c>
      <c r="H349" s="9" t="s">
        <v>956</v>
      </c>
      <c r="I349" s="9" t="n">
        <v>-43</v>
      </c>
      <c r="J349" s="9" t="s">
        <v>137</v>
      </c>
      <c r="K349" s="9" t="s">
        <v>113</v>
      </c>
    </row>
    <row r="350" customFormat="false" ht="15" hidden="false" customHeight="false" outlineLevel="0" collapsed="false">
      <c r="A350" s="9" t="s">
        <v>997</v>
      </c>
      <c r="B350" s="9" t="n">
        <v>9002113</v>
      </c>
      <c r="C350" s="9" t="s">
        <v>48</v>
      </c>
      <c r="D350" s="9" t="s">
        <v>967</v>
      </c>
      <c r="E350" s="9" t="s">
        <v>968</v>
      </c>
      <c r="F350" s="9" t="s">
        <v>998</v>
      </c>
      <c r="G350" s="9" t="s">
        <v>249</v>
      </c>
      <c r="H350" s="9" t="s">
        <v>479</v>
      </c>
      <c r="I350" s="9" t="n">
        <v>-1</v>
      </c>
      <c r="J350" s="9" t="s">
        <v>137</v>
      </c>
      <c r="K350" s="9" t="s">
        <v>113</v>
      </c>
    </row>
    <row r="351" customFormat="false" ht="15" hidden="false" customHeight="false" outlineLevel="0" collapsed="false">
      <c r="A351" s="9" t="s">
        <v>999</v>
      </c>
      <c r="B351" s="9" t="n">
        <v>9002114</v>
      </c>
      <c r="C351" s="9" t="s">
        <v>48</v>
      </c>
      <c r="D351" s="9" t="s">
        <v>967</v>
      </c>
      <c r="E351" s="9" t="s">
        <v>968</v>
      </c>
      <c r="F351" s="9" t="s">
        <v>1000</v>
      </c>
      <c r="G351" s="9" t="s">
        <v>252</v>
      </c>
      <c r="H351" s="9" t="s">
        <v>482</v>
      </c>
      <c r="I351" s="9" t="n">
        <v>0</v>
      </c>
      <c r="J351" s="9" t="s">
        <v>293</v>
      </c>
      <c r="K351" s="9" t="s">
        <v>113</v>
      </c>
    </row>
    <row r="352" customFormat="false" ht="15" hidden="false" customHeight="false" outlineLevel="0" collapsed="false">
      <c r="A352" s="9" t="s">
        <v>1001</v>
      </c>
      <c r="B352" s="9" t="n">
        <v>9002125</v>
      </c>
      <c r="C352" s="9" t="s">
        <v>49</v>
      </c>
      <c r="D352" s="9" t="s">
        <v>967</v>
      </c>
      <c r="E352" s="9" t="s">
        <v>1002</v>
      </c>
      <c r="F352" s="9" t="s">
        <v>1003</v>
      </c>
      <c r="G352" s="9" t="s">
        <v>265</v>
      </c>
      <c r="H352" s="9" t="s">
        <v>338</v>
      </c>
      <c r="I352" s="9" t="n">
        <v>-15</v>
      </c>
      <c r="J352" s="9" t="s">
        <v>137</v>
      </c>
      <c r="K352" s="9" t="s">
        <v>113</v>
      </c>
    </row>
    <row r="353" customFormat="false" ht="15" hidden="false" customHeight="false" outlineLevel="0" collapsed="false">
      <c r="A353" s="9" t="s">
        <v>1004</v>
      </c>
      <c r="B353" s="9" t="n">
        <v>9002126</v>
      </c>
      <c r="C353" s="9" t="s">
        <v>49</v>
      </c>
      <c r="D353" s="9" t="s">
        <v>967</v>
      </c>
      <c r="E353" s="9" t="s">
        <v>1002</v>
      </c>
      <c r="F353" s="9" t="s">
        <v>1005</v>
      </c>
      <c r="G353" s="9" t="s">
        <v>234</v>
      </c>
      <c r="H353" s="9" t="s">
        <v>389</v>
      </c>
      <c r="I353" s="9" t="n">
        <v>-8</v>
      </c>
      <c r="J353" s="9" t="s">
        <v>137</v>
      </c>
      <c r="K353" s="9" t="s">
        <v>113</v>
      </c>
    </row>
    <row r="354" customFormat="false" ht="15" hidden="false" customHeight="false" outlineLevel="0" collapsed="false">
      <c r="A354" s="9" t="s">
        <v>1006</v>
      </c>
      <c r="B354" s="9" t="n">
        <v>9002171</v>
      </c>
      <c r="C354" s="9" t="s">
        <v>50</v>
      </c>
      <c r="D354" s="9" t="s">
        <v>1007</v>
      </c>
      <c r="E354" s="9" t="s">
        <v>1008</v>
      </c>
      <c r="F354" s="9" t="s">
        <v>1009</v>
      </c>
      <c r="G354" s="9" t="s">
        <v>249</v>
      </c>
      <c r="H354" s="9" t="s">
        <v>479</v>
      </c>
      <c r="I354" s="9" t="n">
        <v>-1</v>
      </c>
      <c r="J354" s="9" t="s">
        <v>137</v>
      </c>
      <c r="K354" s="9" t="s">
        <v>113</v>
      </c>
    </row>
    <row r="355" customFormat="false" ht="15" hidden="false" customHeight="false" outlineLevel="0" collapsed="false">
      <c r="A355" s="9" t="s">
        <v>1010</v>
      </c>
      <c r="B355" s="9" t="n">
        <v>9002207</v>
      </c>
      <c r="C355" s="9" t="s">
        <v>51</v>
      </c>
      <c r="D355" s="9" t="s">
        <v>1007</v>
      </c>
      <c r="E355" s="9" t="s">
        <v>1011</v>
      </c>
      <c r="F355" s="9" t="s">
        <v>1012</v>
      </c>
      <c r="G355" s="9" t="s">
        <v>848</v>
      </c>
      <c r="H355" s="9" t="s">
        <v>1013</v>
      </c>
      <c r="I355" s="9" t="n">
        <v>-168</v>
      </c>
      <c r="J355" s="9" t="s">
        <v>137</v>
      </c>
      <c r="K355" s="9" t="s">
        <v>116</v>
      </c>
    </row>
    <row r="356" customFormat="false" ht="15" hidden="false" customHeight="false" outlineLevel="0" collapsed="false">
      <c r="A356" s="9" t="s">
        <v>1014</v>
      </c>
      <c r="B356" s="9" t="n">
        <v>9002210</v>
      </c>
      <c r="C356" s="9" t="s">
        <v>51</v>
      </c>
      <c r="D356" s="9" t="s">
        <v>1007</v>
      </c>
      <c r="E356" s="9" t="s">
        <v>1011</v>
      </c>
      <c r="F356" s="9" t="s">
        <v>1012</v>
      </c>
      <c r="G356" s="9" t="s">
        <v>635</v>
      </c>
      <c r="H356" s="9" t="s">
        <v>1015</v>
      </c>
      <c r="I356" s="9" t="n">
        <v>-144</v>
      </c>
      <c r="J356" s="9" t="s">
        <v>137</v>
      </c>
      <c r="K356" s="9" t="s">
        <v>116</v>
      </c>
    </row>
    <row r="357" customFormat="false" ht="15" hidden="false" customHeight="false" outlineLevel="0" collapsed="false">
      <c r="A357" s="9" t="s">
        <v>1016</v>
      </c>
      <c r="B357" s="9" t="n">
        <v>9002229</v>
      </c>
      <c r="C357" s="9" t="s">
        <v>51</v>
      </c>
      <c r="D357" s="9" t="s">
        <v>1007</v>
      </c>
      <c r="E357" s="9" t="s">
        <v>1011</v>
      </c>
      <c r="F357" s="9" t="s">
        <v>1012</v>
      </c>
      <c r="G357" s="9" t="s">
        <v>1017</v>
      </c>
      <c r="H357" s="9" t="s">
        <v>229</v>
      </c>
      <c r="I357" s="9" t="n">
        <v>-46</v>
      </c>
      <c r="J357" s="9" t="s">
        <v>137</v>
      </c>
      <c r="K357" s="9" t="s">
        <v>116</v>
      </c>
    </row>
    <row r="358" customFormat="false" ht="15" hidden="false" customHeight="false" outlineLevel="0" collapsed="false">
      <c r="A358" s="9" t="s">
        <v>1018</v>
      </c>
      <c r="B358" s="9" t="n">
        <v>9002234</v>
      </c>
      <c r="C358" s="9" t="s">
        <v>51</v>
      </c>
      <c r="D358" s="9" t="s">
        <v>1007</v>
      </c>
      <c r="E358" s="9" t="s">
        <v>1011</v>
      </c>
      <c r="F358" s="9" t="s">
        <v>1012</v>
      </c>
      <c r="G358" s="9" t="s">
        <v>291</v>
      </c>
      <c r="H358" s="9" t="s">
        <v>274</v>
      </c>
      <c r="I358" s="9" t="n">
        <v>-4</v>
      </c>
      <c r="J358" s="9" t="s">
        <v>137</v>
      </c>
      <c r="K358" s="9" t="s">
        <v>116</v>
      </c>
    </row>
    <row r="359" customFormat="false" ht="15" hidden="false" customHeight="false" outlineLevel="0" collapsed="false">
      <c r="A359" s="9" t="s">
        <v>1019</v>
      </c>
      <c r="B359" s="9" t="n">
        <v>9002235</v>
      </c>
      <c r="C359" s="9" t="s">
        <v>51</v>
      </c>
      <c r="D359" s="9" t="s">
        <v>1007</v>
      </c>
      <c r="E359" s="9" t="s">
        <v>1011</v>
      </c>
      <c r="F359" s="9" t="s">
        <v>1012</v>
      </c>
      <c r="G359" s="9" t="s">
        <v>376</v>
      </c>
      <c r="H359" s="9" t="s">
        <v>1020</v>
      </c>
      <c r="I359" s="9" t="n">
        <v>6</v>
      </c>
      <c r="J359" s="9" t="s">
        <v>293</v>
      </c>
      <c r="K359" s="9" t="s">
        <v>116</v>
      </c>
    </row>
    <row r="360" customFormat="false" ht="15" hidden="false" customHeight="false" outlineLevel="0" collapsed="false">
      <c r="A360" s="9" t="s">
        <v>1021</v>
      </c>
      <c r="B360" s="9" t="n">
        <v>9002236</v>
      </c>
      <c r="C360" s="9" t="s">
        <v>51</v>
      </c>
      <c r="D360" s="9" t="s">
        <v>1007</v>
      </c>
      <c r="E360" s="9" t="s">
        <v>1011</v>
      </c>
      <c r="F360" s="9" t="s">
        <v>1012</v>
      </c>
      <c r="G360" s="9" t="s">
        <v>376</v>
      </c>
      <c r="H360" s="9" t="s">
        <v>1020</v>
      </c>
      <c r="I360" s="9" t="n">
        <v>6</v>
      </c>
      <c r="J360" s="9" t="s">
        <v>293</v>
      </c>
      <c r="K360" s="9" t="s">
        <v>116</v>
      </c>
    </row>
    <row r="361" customFormat="false" ht="15" hidden="false" customHeight="false" outlineLevel="0" collapsed="false">
      <c r="A361" s="9" t="s">
        <v>1022</v>
      </c>
      <c r="B361" s="9" t="n">
        <v>9002237</v>
      </c>
      <c r="C361" s="9" t="s">
        <v>52</v>
      </c>
      <c r="D361" s="9" t="s">
        <v>1023</v>
      </c>
      <c r="E361" s="9" t="s">
        <v>1024</v>
      </c>
      <c r="F361" s="9" t="s">
        <v>1025</v>
      </c>
      <c r="G361" s="9" t="s">
        <v>266</v>
      </c>
      <c r="H361" s="9" t="s">
        <v>403</v>
      </c>
      <c r="I361" s="9" t="n">
        <v>15</v>
      </c>
      <c r="J361" s="9" t="s">
        <v>293</v>
      </c>
      <c r="K361" s="9" t="s">
        <v>116</v>
      </c>
    </row>
    <row r="362" customFormat="false" ht="15" hidden="false" customHeight="false" outlineLevel="0" collapsed="false">
      <c r="A362" s="9" t="s">
        <v>1026</v>
      </c>
      <c r="B362" s="9" t="n">
        <v>9002238</v>
      </c>
      <c r="C362" s="9" t="s">
        <v>52</v>
      </c>
      <c r="D362" s="9" t="s">
        <v>1023</v>
      </c>
      <c r="E362" s="9" t="s">
        <v>1024</v>
      </c>
      <c r="F362" s="9" t="s">
        <v>1027</v>
      </c>
      <c r="G362" s="9" t="s">
        <v>266</v>
      </c>
      <c r="H362" s="9" t="s">
        <v>403</v>
      </c>
      <c r="I362" s="9" t="n">
        <v>15</v>
      </c>
      <c r="J362" s="9" t="s">
        <v>293</v>
      </c>
      <c r="K362" s="9" t="s">
        <v>116</v>
      </c>
    </row>
    <row r="363" customFormat="false" ht="15" hidden="false" customHeight="false" outlineLevel="0" collapsed="false">
      <c r="A363" s="9" t="s">
        <v>1028</v>
      </c>
      <c r="B363" s="9" t="n">
        <v>9002239</v>
      </c>
      <c r="C363" s="9" t="s">
        <v>52</v>
      </c>
      <c r="D363" s="9" t="s">
        <v>1023</v>
      </c>
      <c r="E363" s="9" t="s">
        <v>1024</v>
      </c>
      <c r="F363" s="9" t="s">
        <v>1029</v>
      </c>
      <c r="G363" s="9" t="s">
        <v>266</v>
      </c>
      <c r="H363" s="9" t="s">
        <v>403</v>
      </c>
      <c r="I363" s="9" t="n">
        <v>15</v>
      </c>
      <c r="J363" s="9" t="s">
        <v>293</v>
      </c>
      <c r="K363" s="9" t="s">
        <v>116</v>
      </c>
    </row>
    <row r="364" customFormat="false" ht="15" hidden="false" customHeight="false" outlineLevel="0" collapsed="false">
      <c r="A364" s="9" t="s">
        <v>1030</v>
      </c>
      <c r="B364" s="9" t="n">
        <v>9002240</v>
      </c>
      <c r="C364" s="9" t="s">
        <v>52</v>
      </c>
      <c r="D364" s="9" t="s">
        <v>1023</v>
      </c>
      <c r="E364" s="9" t="s">
        <v>1024</v>
      </c>
      <c r="F364" s="9" t="s">
        <v>1031</v>
      </c>
      <c r="G364" s="9" t="s">
        <v>266</v>
      </c>
      <c r="H364" s="9" t="s">
        <v>403</v>
      </c>
      <c r="I364" s="9" t="n">
        <v>15</v>
      </c>
      <c r="J364" s="9" t="s">
        <v>293</v>
      </c>
      <c r="K364" s="9" t="s">
        <v>116</v>
      </c>
    </row>
    <row r="365" customFormat="false" ht="15" hidden="false" customHeight="false" outlineLevel="0" collapsed="false">
      <c r="A365" s="9" t="s">
        <v>1032</v>
      </c>
      <c r="B365" s="9" t="n">
        <v>9002242</v>
      </c>
      <c r="C365" s="9" t="s">
        <v>52</v>
      </c>
      <c r="D365" s="9" t="s">
        <v>1023</v>
      </c>
      <c r="E365" s="9" t="s">
        <v>1024</v>
      </c>
      <c r="F365" s="9" t="s">
        <v>1033</v>
      </c>
      <c r="G365" s="9" t="s">
        <v>266</v>
      </c>
      <c r="H365" s="9" t="s">
        <v>403</v>
      </c>
      <c r="I365" s="9" t="n">
        <v>15</v>
      </c>
      <c r="J365" s="9" t="s">
        <v>293</v>
      </c>
      <c r="K365" s="9" t="s">
        <v>116</v>
      </c>
    </row>
    <row r="366" customFormat="false" ht="15" hidden="false" customHeight="false" outlineLevel="0" collapsed="false">
      <c r="A366" s="9" t="s">
        <v>1034</v>
      </c>
      <c r="B366" s="9" t="n">
        <v>9002243</v>
      </c>
      <c r="C366" s="9" t="s">
        <v>52</v>
      </c>
      <c r="D366" s="9" t="s">
        <v>1023</v>
      </c>
      <c r="E366" s="9" t="s">
        <v>1024</v>
      </c>
      <c r="F366" s="9" t="s">
        <v>1035</v>
      </c>
      <c r="G366" s="9" t="s">
        <v>266</v>
      </c>
      <c r="H366" s="9" t="s">
        <v>403</v>
      </c>
      <c r="I366" s="9" t="n">
        <v>15</v>
      </c>
      <c r="J366" s="9" t="s">
        <v>293</v>
      </c>
      <c r="K366" s="9" t="s">
        <v>116</v>
      </c>
    </row>
    <row r="367" customFormat="false" ht="15" hidden="false" customHeight="false" outlineLevel="0" collapsed="false">
      <c r="A367" s="9" t="s">
        <v>1036</v>
      </c>
      <c r="B367" s="9" t="n">
        <v>9002244</v>
      </c>
      <c r="C367" s="9" t="s">
        <v>52</v>
      </c>
      <c r="D367" s="9" t="s">
        <v>1023</v>
      </c>
      <c r="E367" s="9" t="s">
        <v>1024</v>
      </c>
      <c r="F367" s="9" t="s">
        <v>1037</v>
      </c>
      <c r="G367" s="9" t="s">
        <v>266</v>
      </c>
      <c r="H367" s="9" t="s">
        <v>403</v>
      </c>
      <c r="I367" s="9" t="n">
        <v>15</v>
      </c>
      <c r="J367" s="9" t="s">
        <v>293</v>
      </c>
      <c r="K367" s="9" t="s">
        <v>116</v>
      </c>
    </row>
    <row r="368" customFormat="false" ht="15" hidden="false" customHeight="false" outlineLevel="0" collapsed="false">
      <c r="A368" s="9" t="s">
        <v>1038</v>
      </c>
      <c r="B368" s="9" t="n">
        <v>9002246</v>
      </c>
      <c r="C368" s="9" t="s">
        <v>52</v>
      </c>
      <c r="D368" s="9" t="s">
        <v>1023</v>
      </c>
      <c r="E368" s="9" t="s">
        <v>1024</v>
      </c>
      <c r="F368" s="9" t="s">
        <v>1039</v>
      </c>
      <c r="G368" s="9" t="s">
        <v>266</v>
      </c>
      <c r="H368" s="9" t="s">
        <v>403</v>
      </c>
      <c r="I368" s="9" t="n">
        <v>15</v>
      </c>
      <c r="J368" s="9" t="s">
        <v>293</v>
      </c>
      <c r="K368" s="9" t="s">
        <v>116</v>
      </c>
    </row>
    <row r="369" customFormat="false" ht="15" hidden="false" customHeight="false" outlineLevel="0" collapsed="false">
      <c r="A369" s="9" t="s">
        <v>1040</v>
      </c>
      <c r="B369" s="9" t="n">
        <v>9002247</v>
      </c>
      <c r="C369" s="9" t="s">
        <v>52</v>
      </c>
      <c r="D369" s="9" t="s">
        <v>1023</v>
      </c>
      <c r="E369" s="9" t="s">
        <v>1024</v>
      </c>
      <c r="F369" s="9" t="s">
        <v>1041</v>
      </c>
      <c r="G369" s="9" t="s">
        <v>266</v>
      </c>
      <c r="H369" s="9" t="s">
        <v>403</v>
      </c>
      <c r="I369" s="9" t="n">
        <v>15</v>
      </c>
      <c r="J369" s="9" t="s">
        <v>293</v>
      </c>
      <c r="K369" s="9" t="s">
        <v>116</v>
      </c>
    </row>
    <row r="370" customFormat="false" ht="15" hidden="false" customHeight="false" outlineLevel="0" collapsed="false">
      <c r="A370" s="9" t="s">
        <v>1042</v>
      </c>
      <c r="B370" s="9" t="n">
        <v>9002249</v>
      </c>
      <c r="C370" s="9" t="s">
        <v>52</v>
      </c>
      <c r="D370" s="9" t="s">
        <v>1023</v>
      </c>
      <c r="E370" s="9" t="s">
        <v>1024</v>
      </c>
      <c r="F370" s="9" t="s">
        <v>1043</v>
      </c>
      <c r="G370" s="9" t="s">
        <v>266</v>
      </c>
      <c r="H370" s="9" t="s">
        <v>403</v>
      </c>
      <c r="I370" s="9" t="n">
        <v>15</v>
      </c>
      <c r="J370" s="9" t="s">
        <v>293</v>
      </c>
      <c r="K370" s="9" t="s">
        <v>116</v>
      </c>
    </row>
    <row r="371" customFormat="false" ht="15" hidden="false" customHeight="false" outlineLevel="0" collapsed="false">
      <c r="A371" s="9" t="s">
        <v>1044</v>
      </c>
      <c r="B371" s="9" t="n">
        <v>9002250</v>
      </c>
      <c r="C371" s="9" t="s">
        <v>52</v>
      </c>
      <c r="D371" s="9" t="s">
        <v>1023</v>
      </c>
      <c r="E371" s="9" t="s">
        <v>1024</v>
      </c>
      <c r="F371" s="9" t="s">
        <v>1045</v>
      </c>
      <c r="G371" s="9" t="s">
        <v>266</v>
      </c>
      <c r="H371" s="9" t="s">
        <v>403</v>
      </c>
      <c r="I371" s="9" t="n">
        <v>15</v>
      </c>
      <c r="J371" s="9" t="s">
        <v>293</v>
      </c>
      <c r="K371" s="9" t="s">
        <v>116</v>
      </c>
    </row>
    <row r="372" customFormat="false" ht="15" hidden="false" customHeight="false" outlineLevel="0" collapsed="false">
      <c r="A372" s="9" t="s">
        <v>1046</v>
      </c>
      <c r="B372" s="9" t="n">
        <v>9002251</v>
      </c>
      <c r="C372" s="9" t="s">
        <v>52</v>
      </c>
      <c r="D372" s="9" t="s">
        <v>1023</v>
      </c>
      <c r="E372" s="9" t="s">
        <v>1024</v>
      </c>
      <c r="F372" s="9" t="s">
        <v>1047</v>
      </c>
      <c r="G372" s="9" t="s">
        <v>266</v>
      </c>
      <c r="H372" s="9" t="s">
        <v>403</v>
      </c>
      <c r="I372" s="9" t="n">
        <v>15</v>
      </c>
      <c r="J372" s="9" t="s">
        <v>293</v>
      </c>
      <c r="K372" s="9" t="s">
        <v>116</v>
      </c>
    </row>
    <row r="373" customFormat="false" ht="15" hidden="false" customHeight="false" outlineLevel="0" collapsed="false">
      <c r="A373" s="9" t="s">
        <v>1048</v>
      </c>
      <c r="B373" s="9" t="n">
        <v>9002252</v>
      </c>
      <c r="C373" s="9" t="s">
        <v>52</v>
      </c>
      <c r="D373" s="9" t="s">
        <v>1023</v>
      </c>
      <c r="E373" s="9" t="s">
        <v>1024</v>
      </c>
      <c r="F373" s="9" t="s">
        <v>1049</v>
      </c>
      <c r="G373" s="9" t="s">
        <v>266</v>
      </c>
      <c r="H373" s="9" t="s">
        <v>403</v>
      </c>
      <c r="I373" s="9" t="n">
        <v>15</v>
      </c>
      <c r="J373" s="9" t="s">
        <v>293</v>
      </c>
      <c r="K373" s="9" t="s">
        <v>116</v>
      </c>
    </row>
    <row r="374" customFormat="false" ht="15" hidden="false" customHeight="false" outlineLevel="0" collapsed="false">
      <c r="A374" s="9" t="s">
        <v>1050</v>
      </c>
      <c r="B374" s="9" t="n">
        <v>9002253</v>
      </c>
      <c r="C374" s="9" t="s">
        <v>52</v>
      </c>
      <c r="D374" s="9" t="s">
        <v>1023</v>
      </c>
      <c r="E374" s="9" t="s">
        <v>1024</v>
      </c>
      <c r="F374" s="9" t="s">
        <v>1051</v>
      </c>
      <c r="G374" s="9" t="s">
        <v>266</v>
      </c>
      <c r="H374" s="9" t="s">
        <v>403</v>
      </c>
      <c r="I374" s="9" t="n">
        <v>15</v>
      </c>
      <c r="J374" s="9" t="s">
        <v>293</v>
      </c>
      <c r="K374" s="9" t="s">
        <v>116</v>
      </c>
    </row>
    <row r="375" customFormat="false" ht="15" hidden="false" customHeight="false" outlineLevel="0" collapsed="false">
      <c r="A375" s="9" t="s">
        <v>1052</v>
      </c>
      <c r="B375" s="9" t="n">
        <v>9002254</v>
      </c>
      <c r="C375" s="9" t="s">
        <v>52</v>
      </c>
      <c r="D375" s="9" t="s">
        <v>1023</v>
      </c>
      <c r="E375" s="9" t="s">
        <v>1024</v>
      </c>
      <c r="F375" s="9" t="s">
        <v>1053</v>
      </c>
      <c r="G375" s="9" t="s">
        <v>266</v>
      </c>
      <c r="H375" s="9" t="s">
        <v>403</v>
      </c>
      <c r="I375" s="9" t="n">
        <v>15</v>
      </c>
      <c r="J375" s="9" t="s">
        <v>293</v>
      </c>
      <c r="K375" s="9" t="s">
        <v>116</v>
      </c>
    </row>
    <row r="376" customFormat="false" ht="15" hidden="false" customHeight="false" outlineLevel="0" collapsed="false">
      <c r="A376" s="9" t="s">
        <v>1054</v>
      </c>
      <c r="B376" s="9" t="n">
        <v>9002255</v>
      </c>
      <c r="C376" s="9" t="s">
        <v>52</v>
      </c>
      <c r="D376" s="9" t="s">
        <v>1023</v>
      </c>
      <c r="E376" s="9" t="s">
        <v>1024</v>
      </c>
      <c r="F376" s="9" t="s">
        <v>1055</v>
      </c>
      <c r="G376" s="9" t="s">
        <v>266</v>
      </c>
      <c r="H376" s="9" t="s">
        <v>403</v>
      </c>
      <c r="I376" s="9" t="n">
        <v>15</v>
      </c>
      <c r="J376" s="9" t="s">
        <v>293</v>
      </c>
      <c r="K376" s="9" t="s">
        <v>116</v>
      </c>
    </row>
    <row r="377" customFormat="false" ht="15" hidden="false" customHeight="false" outlineLevel="0" collapsed="false">
      <c r="A377" s="9" t="s">
        <v>1056</v>
      </c>
      <c r="B377" s="9" t="n">
        <v>9002256</v>
      </c>
      <c r="C377" s="9" t="s">
        <v>52</v>
      </c>
      <c r="D377" s="9" t="s">
        <v>1023</v>
      </c>
      <c r="E377" s="9" t="s">
        <v>1024</v>
      </c>
      <c r="F377" s="9" t="s">
        <v>1057</v>
      </c>
      <c r="G377" s="9" t="s">
        <v>266</v>
      </c>
      <c r="H377" s="9" t="s">
        <v>403</v>
      </c>
      <c r="I377" s="9" t="n">
        <v>15</v>
      </c>
      <c r="J377" s="9" t="s">
        <v>293</v>
      </c>
      <c r="K377" s="9" t="s">
        <v>116</v>
      </c>
    </row>
    <row r="378" customFormat="false" ht="15" hidden="false" customHeight="false" outlineLevel="0" collapsed="false">
      <c r="A378" s="9" t="s">
        <v>1058</v>
      </c>
      <c r="B378" s="9" t="n">
        <v>9002257</v>
      </c>
      <c r="C378" s="9" t="s">
        <v>52</v>
      </c>
      <c r="D378" s="9" t="s">
        <v>1023</v>
      </c>
      <c r="E378" s="9" t="s">
        <v>1024</v>
      </c>
      <c r="F378" s="9" t="s">
        <v>1059</v>
      </c>
      <c r="G378" s="9" t="s">
        <v>266</v>
      </c>
      <c r="H378" s="9" t="s">
        <v>403</v>
      </c>
      <c r="I378" s="9" t="n">
        <v>15</v>
      </c>
      <c r="J378" s="9" t="s">
        <v>293</v>
      </c>
      <c r="K378" s="9" t="s">
        <v>116</v>
      </c>
    </row>
    <row r="379" customFormat="false" ht="15" hidden="false" customHeight="false" outlineLevel="0" collapsed="false">
      <c r="A379" s="9" t="s">
        <v>1060</v>
      </c>
      <c r="B379" s="9" t="n">
        <v>9002258</v>
      </c>
      <c r="C379" s="9" t="s">
        <v>52</v>
      </c>
      <c r="D379" s="9" t="s">
        <v>1023</v>
      </c>
      <c r="E379" s="9" t="s">
        <v>1024</v>
      </c>
      <c r="F379" s="9" t="s">
        <v>1061</v>
      </c>
      <c r="G379" s="9" t="s">
        <v>266</v>
      </c>
      <c r="H379" s="9" t="s">
        <v>403</v>
      </c>
      <c r="I379" s="9" t="n">
        <v>15</v>
      </c>
      <c r="J379" s="9" t="s">
        <v>293</v>
      </c>
      <c r="K379" s="9" t="s">
        <v>116</v>
      </c>
    </row>
    <row r="380" customFormat="false" ht="15" hidden="false" customHeight="false" outlineLevel="0" collapsed="false">
      <c r="A380" s="9" t="s">
        <v>1062</v>
      </c>
      <c r="B380" s="9" t="n">
        <v>9002259</v>
      </c>
      <c r="C380" s="9" t="s">
        <v>52</v>
      </c>
      <c r="D380" s="9" t="s">
        <v>1023</v>
      </c>
      <c r="E380" s="9" t="s">
        <v>1024</v>
      </c>
      <c r="F380" s="9" t="s">
        <v>1063</v>
      </c>
      <c r="G380" s="9" t="s">
        <v>266</v>
      </c>
      <c r="H380" s="9" t="s">
        <v>403</v>
      </c>
      <c r="I380" s="9" t="n">
        <v>15</v>
      </c>
      <c r="J380" s="9" t="s">
        <v>293</v>
      </c>
      <c r="K380" s="9" t="s">
        <v>116</v>
      </c>
    </row>
    <row r="381" customFormat="false" ht="15" hidden="false" customHeight="false" outlineLevel="0" collapsed="false">
      <c r="A381" s="9" t="s">
        <v>1064</v>
      </c>
      <c r="B381" s="9" t="n">
        <v>9002260</v>
      </c>
      <c r="C381" s="9" t="s">
        <v>52</v>
      </c>
      <c r="D381" s="9" t="s">
        <v>1023</v>
      </c>
      <c r="E381" s="9" t="s">
        <v>1024</v>
      </c>
      <c r="F381" s="9" t="s">
        <v>1065</v>
      </c>
      <c r="G381" s="9" t="s">
        <v>266</v>
      </c>
      <c r="H381" s="9" t="s">
        <v>403</v>
      </c>
      <c r="I381" s="9" t="n">
        <v>15</v>
      </c>
      <c r="J381" s="9" t="s">
        <v>293</v>
      </c>
      <c r="K381" s="9" t="s">
        <v>116</v>
      </c>
    </row>
    <row r="382" customFormat="false" ht="15" hidden="false" customHeight="false" outlineLevel="0" collapsed="false">
      <c r="A382" s="9" t="s">
        <v>1066</v>
      </c>
      <c r="B382" s="9" t="n">
        <v>9002261</v>
      </c>
      <c r="C382" s="9" t="s">
        <v>52</v>
      </c>
      <c r="D382" s="9" t="s">
        <v>1023</v>
      </c>
      <c r="E382" s="9" t="s">
        <v>1024</v>
      </c>
      <c r="F382" s="9" t="s">
        <v>1067</v>
      </c>
      <c r="G382" s="9" t="s">
        <v>266</v>
      </c>
      <c r="H382" s="9" t="s">
        <v>403</v>
      </c>
      <c r="I382" s="9" t="n">
        <v>15</v>
      </c>
      <c r="J382" s="9" t="s">
        <v>293</v>
      </c>
      <c r="K382" s="9" t="s">
        <v>116</v>
      </c>
    </row>
    <row r="383" customFormat="false" ht="15" hidden="false" customHeight="false" outlineLevel="0" collapsed="false">
      <c r="A383" s="9" t="s">
        <v>1068</v>
      </c>
      <c r="B383" s="9" t="n">
        <v>9002262</v>
      </c>
      <c r="C383" s="9" t="s">
        <v>52</v>
      </c>
      <c r="D383" s="9" t="s">
        <v>1023</v>
      </c>
      <c r="E383" s="9" t="s">
        <v>1024</v>
      </c>
      <c r="F383" s="9" t="s">
        <v>1069</v>
      </c>
      <c r="G383" s="9" t="s">
        <v>266</v>
      </c>
      <c r="H383" s="9" t="s">
        <v>403</v>
      </c>
      <c r="I383" s="9" t="n">
        <v>15</v>
      </c>
      <c r="J383" s="9" t="s">
        <v>293</v>
      </c>
      <c r="K383" s="9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2026-09-05T17:11:33Z</dcterms:created>
  <dc:creator>openpyxl</dc:creator>
  <dc:description/>
  <dc:language>en-US</dc:language>
  <cp:lastModifiedBy/>
  <dcterms:modified xsi:type="dcterms:W3CDTF">2026-09-05T17:11:35Z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